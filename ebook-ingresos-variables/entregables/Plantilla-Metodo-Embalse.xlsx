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 Ingresos" sheetId="2" state="visible" r:id="rId2"/>
    <sheet xmlns:r="http://schemas.openxmlformats.org/officeDocument/2006/relationships" name="2 Gastos" sheetId="3" state="visible" r:id="rId3"/>
    <sheet xmlns:r="http://schemas.openxmlformats.org/officeDocument/2006/relationships" name="3 Sistema" sheetId="4" state="visible" r:id="rId4"/>
    <sheet xmlns:r="http://schemas.openxmlformats.org/officeDocument/2006/relationships" name="4 Cobros" sheetId="5" state="visible" r:id="rId5"/>
    <sheet xmlns:r="http://schemas.openxmlformats.org/officeDocument/2006/relationships" name="5 Embalse" sheetId="6" state="visible" r:id="rId6"/>
    <sheet xmlns:r="http://schemas.openxmlformats.org/officeDocument/2006/relationships" name="6 Previsiones" sheetId="7" state="visible" r:id="rId7"/>
    <sheet xmlns:r="http://schemas.openxmlformats.org/officeDocument/2006/relationships" name="7 Tarifa" sheetId="8" state="visible" r:id="rId8"/>
    <sheet xmlns:r="http://schemas.openxmlformats.org/officeDocument/2006/relationships" name="8 Cartera 90 dí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0E3A4A"/>
      <sz val="16"/>
    </font>
    <font>
      <name val="Calibri"/>
      <i val="1"/>
      <color rgb="005F6F77"/>
      <sz val="10"/>
    </font>
    <font>
      <name val="Calibri"/>
      <b val="1"/>
      <color rgb="0015232B"/>
      <sz val="10"/>
    </font>
    <font>
      <name val="Calibri"/>
      <color rgb="0015232B"/>
      <sz val="10"/>
    </font>
    <font>
      <name val="Calibri"/>
      <b val="1"/>
      <color rgb="001A7FB5"/>
      <sz val="12"/>
    </font>
    <font>
      <name val="Calibri"/>
      <b val="1"/>
      <color rgb="00FFFFFF"/>
      <sz val="10"/>
    </font>
    <font>
      <name val="Calibri"/>
      <i val="1"/>
      <color rgb="005F6F77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9F3F9"/>
      </patternFill>
    </fill>
    <fill>
      <patternFill patternType="solid">
        <fgColor rgb="000E3A4A"/>
      </patternFill>
    </fill>
  </fills>
  <borders count="2">
    <border>
      <left/>
      <right/>
      <top/>
      <bottom/>
      <diagonal/>
    </border>
    <border>
      <bottom style="thin">
        <color rgb="00D8E1E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4" fillId="2" borderId="1" pivotButton="0" quotePrefix="0" xfId="0"/>
    <xf numFmtId="3" fontId="4" fillId="2" borderId="1" pivotButton="0" quotePrefix="0" xfId="0"/>
    <xf numFmtId="3" fontId="4" fillId="3" borderId="1" pivotButton="0" quotePrefix="0" xfId="0"/>
    <xf numFmtId="0" fontId="4" fillId="0" borderId="1" applyAlignment="1" pivotButton="0" quotePrefix="0" xfId="0">
      <alignment vertical="center" wrapText="1"/>
    </xf>
    <xf numFmtId="3" fontId="3" fillId="3" borderId="1" pivotButton="0" quotePrefix="0" xfId="0"/>
    <xf numFmtId="164" fontId="4" fillId="3" borderId="1" pivotButton="0" quotePrefix="0" xfId="0"/>
    <xf numFmtId="0" fontId="3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3" fillId="0" borderId="1" applyAlignment="1" pivotButton="0" quotePrefix="0" xfId="0">
      <alignment vertical="center" wrapText="1"/>
    </xf>
    <xf numFmtId="0" fontId="7" fillId="0" borderId="0" pivotButton="0" quotePrefix="0" xfId="0"/>
    <xf numFmtId="164" fontId="3" fillId="3" borderId="1" pivotButton="0" quotePrefix="0" xfId="0"/>
    <xf numFmtId="0" fontId="4" fillId="3" borderId="1" pivotButton="0" quotePrefix="0" xfId="0"/>
    <xf numFmtId="0" fontId="8" fillId="4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wrapText="1"/>
    </xf>
    <xf numFmtId="164" fontId="4" fillId="2" borderId="1" pivotButton="0" quotePrefix="0" xfId="0"/>
    <xf numFmtId="1" fontId="3" fillId="3" borderId="1" pivotButton="0" quotePrefix="0" xfId="0"/>
    <xf numFmtId="4" fontId="4" fillId="3" borderId="1" pivotButton="0" quotePrefix="0" xfId="0"/>
    <xf numFmtId="165" fontId="4" fillId="2" borderId="1" pivotButton="0" quotePrefix="0" xfId="0"/>
    <xf numFmtId="4" fontId="4" fillId="2" borderId="1" pivotButton="0" quotePrefix="0" xfId="0"/>
    <xf numFmtId="1" fontId="4" fillId="2" borderId="1" pivotButton="0" quotePrefix="0" xfId="0"/>
    <xf numFmtId="166" fontId="4" fillId="3" borderId="1" pivotButton="0" quotePrefix="0" xfId="0"/>
    <xf numFmtId="4" fontId="3" fillId="3" borderId="1" pivotButton="0" quotePrefix="0" xfId="0"/>
    <xf numFmtId="9" fontId="4" fillId="3" borderId="1" pivotButton="0" quotePrefix="0" xfId="0"/>
  </cellXfs>
  <cellStyles count="1">
    <cellStyle name="Normal" xfId="0" builtinId="0" hidden="0"/>
  </cellStyles>
  <dxfs count="6">
    <dxf>
      <font>
        <b val="1"/>
      </font>
      <fill>
        <patternFill patternType="solid">
          <fgColor rgb="00D7EED8"/>
        </patternFill>
      </fill>
    </dxf>
    <dxf>
      <font>
        <b val="1"/>
      </font>
      <fill>
        <patternFill patternType="solid">
          <fgColor rgb="00FBF0C2"/>
        </patternFill>
      </fill>
    </dxf>
    <dxf>
      <font>
        <b val="1"/>
      </font>
      <fill>
        <patternFill patternType="solid">
          <fgColor rgb="00FBD9BD"/>
        </patternFill>
      </fill>
    </dxf>
    <dxf>
      <font>
        <b val="1"/>
      </font>
      <fill>
        <patternFill patternType="solid">
          <fgColor rgb="00F6C9C9"/>
        </patternFill>
      </fill>
    </dxf>
    <dxf>
      <fill>
        <patternFill patternType="solid">
          <fgColor rgb="00F6C9C9"/>
        </patternFill>
      </fill>
    </dxf>
    <dxf>
      <fill>
        <patternFill patternType="solid">
          <fgColor rgb="00FBD9B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4A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0" customWidth="1" min="3" max="3"/>
  </cols>
  <sheetData>
    <row r="1">
      <c r="A1" s="1" t="inlineStr">
        <is>
          <t>Método Embalse · Plantilla de cálculo</t>
        </is>
      </c>
    </row>
    <row r="2">
      <c r="A2" s="2" t="inlineStr">
        <is>
          <t>Complemento del libro «Ingresos variables, sueldo fijo». Material educativo; no constituye asesoramiento financiero ni fiscal.</t>
        </is>
      </c>
    </row>
    <row r="4">
      <c r="B4" s="3" t="inlineStr">
        <is>
          <t>Cómo se usa</t>
        </is>
      </c>
      <c r="C4" s="4" t="inlineStr"/>
    </row>
    <row r="5">
      <c r="B5" s="5" t="inlineStr">
        <is>
          <t>Celdas amarillas</t>
        </is>
      </c>
      <c r="C5" s="4" t="inlineStr">
        <is>
          <t>Son las que completas tú. Todo lo demás se calcula solo.</t>
        </is>
      </c>
    </row>
    <row r="6">
      <c r="B6" s="6" t="inlineStr">
        <is>
          <t>Celdas celestes</t>
        </is>
      </c>
      <c r="C6" s="4" t="inlineStr">
        <is>
          <t>Resultados calculados. No hace falta tocarlas.</t>
        </is>
      </c>
    </row>
    <row r="7">
      <c r="B7" s="7" t="inlineStr"/>
      <c r="C7" s="4" t="inlineStr"/>
    </row>
    <row r="8">
      <c r="B8" s="3" t="inlineStr">
        <is>
          <t>Orden recomendado</t>
        </is>
      </c>
      <c r="C8" s="4" t="inlineStr"/>
    </row>
    <row r="9">
      <c r="B9" s="7" t="inlineStr">
        <is>
          <t>1 Ingresos</t>
        </is>
      </c>
      <c r="C9" s="4" t="inlineStr">
        <is>
          <t>Tus cobros brutos de los últimos 12 meses y tus clientes (capítulo 2).</t>
        </is>
      </c>
    </row>
    <row r="10">
      <c r="B10" s="7" t="inlineStr">
        <is>
          <t>2 Gastos</t>
        </is>
      </c>
      <c r="C10" s="4" t="inlineStr">
        <is>
          <t>Tu inventario de gastos personales clasificado (capítulo 3).</t>
        </is>
      </c>
    </row>
    <row r="11">
      <c r="B11" s="7" t="inlineStr">
        <is>
          <t>3 Sistema</t>
        </is>
      </c>
      <c r="C11" s="4" t="inlineStr">
        <is>
          <t>Tu porcentaje de impuestos, gastos de la actividad y respuestas para la meta del embalse. Aquí está la ficha completa de tu sistema (capítulos 4 a 7).</t>
        </is>
      </c>
    </row>
    <row r="12">
      <c r="B12" s="7" t="inlineStr">
        <is>
          <t>6 Previsiones</t>
        </is>
      </c>
      <c r="C12" s="4" t="inlineStr">
        <is>
          <t>Tus gastos irregulares del año: calcula el aporte mensual y el capital semilla (capítulo 8).</t>
        </is>
      </c>
    </row>
    <row r="13">
      <c r="B13" s="7" t="inlineStr">
        <is>
          <t>7 Tarifa</t>
        </is>
      </c>
      <c r="C13" s="4" t="inlineStr">
        <is>
          <t>Tu tarifa mínima viable y tu tarifa objetivo (capítulo 11).</t>
        </is>
      </c>
    </row>
    <row r="14">
      <c r="B14" s="7" t="inlineStr">
        <is>
          <t>4 Cobros</t>
        </is>
      </c>
      <c r="C14" s="4" t="inlineStr">
        <is>
          <t>Uso semanal: registra cada cobro y la reserva de impuestos que le corresponde.</t>
        </is>
      </c>
    </row>
    <row r="15">
      <c r="B15" s="7" t="inlineStr">
        <is>
          <t>5 Embalse</t>
        </is>
      </c>
      <c r="C15" s="4" t="inlineStr">
        <is>
          <t>Uso mensual: el día de pago, anota el saldo del embalse y obtén el sueldo sugerido, la zona del semáforo y la cascada (capítulos 6, 7 y 9).</t>
        </is>
      </c>
    </row>
    <row r="16">
      <c r="B16" s="7" t="inlineStr">
        <is>
          <t>8 Cartera 90 días</t>
        </is>
      </c>
      <c r="C16" s="4" t="inlineStr">
        <is>
          <t>Uso mensual: lo que esperas cobrar en los próximos tres meses, ponderado (capítulo 11).</t>
        </is>
      </c>
    </row>
    <row r="17">
      <c r="B17" s="7" t="inlineStr"/>
      <c r="C17" s="4" t="inlineStr"/>
    </row>
    <row r="18">
      <c r="B18" s="7" t="inlineStr">
        <is>
          <t>Google Sheets</t>
        </is>
      </c>
      <c r="C18" s="4" t="inlineStr">
        <is>
          <t>Archivo &gt; Importar &gt; Subir este archivo. Las fórmulas son compatibles.</t>
        </is>
      </c>
    </row>
    <row r="19">
      <c r="B19" s="7" t="inlineStr">
        <is>
          <t>Moneda</t>
        </is>
      </c>
      <c r="C19" s="4" t="inlineStr">
        <is>
          <t>Usa una sola moneda de referencia en toda la plantilla (capítulo 2).</t>
        </is>
      </c>
    </row>
    <row r="20">
      <c r="B20" s="7" t="inlineStr">
        <is>
          <t>Aviso</t>
        </is>
      </c>
      <c r="C20" s="4" t="inlineStr">
        <is>
          <t>Los porcentajes de impuestos deben confirmarse con la autoridad tributaria de tu país o con un profesional. Los rangos de variabilidad y la tabla de meses del embalse son referencias propias del método.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FB5"/>
    <outlinePr summaryBelow="1" summaryRight="1"/>
    <pageSetUpPr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15" customWidth="1" min="5" max="5"/>
    <col width="16" customWidth="1" min="6" max="6"/>
    <col width="3" customWidth="1" min="7" max="7"/>
    <col width="36" customWidth="1" min="8" max="8"/>
    <col width="16" customWidth="1" min="9" max="9"/>
  </cols>
  <sheetData>
    <row r="1">
      <c r="A1" s="1" t="inlineStr">
        <is>
          <t>1 · Radiografía de tus ingresos</t>
        </is>
      </c>
    </row>
    <row r="2">
      <c r="A2" s="2" t="inlineStr">
        <is>
          <t>Registra lo que efectivamente cobraste cada mes (criterio de caja), en bruto y en tu moneda de referencia.</t>
        </is>
      </c>
    </row>
    <row r="4" ht="30" customHeight="1">
      <c r="A4" s="8" t="inlineStr">
        <is>
          <t>Mes</t>
        </is>
      </c>
      <c r="B4" s="8" t="inlineStr">
        <is>
          <t>Ingreso bruto</t>
        </is>
      </c>
      <c r="C4" s="8" t="inlineStr">
        <is>
          <t>Extraordinarios (no se cuentan)</t>
        </is>
      </c>
      <c r="D4" s="8" t="inlineStr">
        <is>
          <t>Impuestos estimados</t>
        </is>
      </c>
      <c r="E4" s="8" t="inlineStr">
        <is>
          <t>Gastos de la actividad</t>
        </is>
      </c>
      <c r="F4" s="8" t="inlineStr">
        <is>
          <t>Ingreso disponible</t>
        </is>
      </c>
      <c r="H4" s="8" t="inlineStr">
        <is>
          <t>Tus cinco números y tu variabilidad</t>
        </is>
      </c>
      <c r="I4" s="8" t="inlineStr">
        <is>
          <t>Valor</t>
        </is>
      </c>
    </row>
    <row r="5">
      <c r="A5" s="9" t="inlineStr">
        <is>
          <t>Enero</t>
        </is>
      </c>
      <c r="B5" s="10" t="n"/>
      <c r="C5" s="10" t="n"/>
      <c r="D5" s="11">
        <f>IF(B5="","",B5*'3 Sistema'!$C$6)</f>
        <v/>
      </c>
      <c r="E5" s="11">
        <f>IF(B5="","",'3 Sistema'!$C$8)</f>
        <v/>
      </c>
      <c r="F5" s="11">
        <f>IF(B5="","",B5-D5-E5)</f>
        <v/>
      </c>
      <c r="H5" s="12" t="inlineStr">
        <is>
          <t>Promedio bruto</t>
        </is>
      </c>
      <c r="I5" s="11">
        <f>IFERROR(AVERAGE(B5:B16),0)</f>
        <v/>
      </c>
    </row>
    <row r="6">
      <c r="A6" s="9" t="inlineStr">
        <is>
          <t>Febrero</t>
        </is>
      </c>
      <c r="B6" s="10" t="n"/>
      <c r="C6" s="10" t="n"/>
      <c r="D6" s="11">
        <f>IF(B6="","",B6*'3 Sistema'!$C$6)</f>
        <v/>
      </c>
      <c r="E6" s="11">
        <f>IF(B6="","",'3 Sistema'!$C$8)</f>
        <v/>
      </c>
      <c r="F6" s="11">
        <f>IF(B6="","",B6-D6-E6)</f>
        <v/>
      </c>
      <c r="H6" s="12" t="inlineStr">
        <is>
          <t>Promedio disponible</t>
        </is>
      </c>
      <c r="I6" s="11">
        <f>IFERROR(AVERAGE(F5:F16),0)</f>
        <v/>
      </c>
    </row>
    <row r="7">
      <c r="A7" s="9" t="inlineStr">
        <is>
          <t>Marzo</t>
        </is>
      </c>
      <c r="B7" s="10" t="n"/>
      <c r="C7" s="10" t="n"/>
      <c r="D7" s="11">
        <f>IF(B7="","",B7*'3 Sistema'!$C$6)</f>
        <v/>
      </c>
      <c r="E7" s="11">
        <f>IF(B7="","",'3 Sistema'!$C$8)</f>
        <v/>
      </c>
      <c r="F7" s="11">
        <f>IF(B7="","",B7-D7-E7)</f>
        <v/>
      </c>
      <c r="H7" s="12" t="inlineStr">
        <is>
          <t>Mediana disponible</t>
        </is>
      </c>
      <c r="I7" s="11">
        <f>IFERROR(MEDIAN(F5:F16),0)</f>
        <v/>
      </c>
    </row>
    <row r="8">
      <c r="A8" s="9" t="inlineStr">
        <is>
          <t>Abril</t>
        </is>
      </c>
      <c r="B8" s="10" t="n"/>
      <c r="C8" s="10" t="n"/>
      <c r="D8" s="11">
        <f>IF(B8="","",B8*'3 Sistema'!$C$6)</f>
        <v/>
      </c>
      <c r="E8" s="11">
        <f>IF(B8="","",'3 Sistema'!$C$8)</f>
        <v/>
      </c>
      <c r="F8" s="11">
        <f>IF(B8="","",B8-D8-E8)</f>
        <v/>
      </c>
      <c r="H8" s="12" t="inlineStr">
        <is>
          <t>Mínimo disponible</t>
        </is>
      </c>
      <c r="I8" s="11">
        <f>IFERROR(MIN(F5:F16),0)</f>
        <v/>
      </c>
    </row>
    <row r="9">
      <c r="A9" s="9" t="inlineStr">
        <is>
          <t>Mayo</t>
        </is>
      </c>
      <c r="B9" s="10" t="n"/>
      <c r="C9" s="10" t="n"/>
      <c r="D9" s="11">
        <f>IF(B9="","",B9*'3 Sistema'!$C$6)</f>
        <v/>
      </c>
      <c r="E9" s="11">
        <f>IF(B9="","",'3 Sistema'!$C$8)</f>
        <v/>
      </c>
      <c r="F9" s="11">
        <f>IF(B9="","",B9-D9-E9)</f>
        <v/>
      </c>
      <c r="H9" s="12" t="inlineStr">
        <is>
          <t>Piso (promedio de los 3 peores meses)</t>
        </is>
      </c>
      <c r="I9" s="13">
        <f>IFERROR(AVERAGE(SMALL(F5:F16,1),SMALL(F5:F16,2),SMALL(F5:F16,3)),0)</f>
        <v/>
      </c>
    </row>
    <row r="10">
      <c r="A10" s="9" t="inlineStr">
        <is>
          <t>Junio</t>
        </is>
      </c>
      <c r="B10" s="10" t="n"/>
      <c r="C10" s="10" t="n"/>
      <c r="D10" s="11">
        <f>IF(B10="","",B10*'3 Sistema'!$C$6)</f>
        <v/>
      </c>
      <c r="E10" s="11">
        <f>IF(B10="","",'3 Sistema'!$C$8)</f>
        <v/>
      </c>
      <c r="F10" s="11">
        <f>IF(B10="","",B10-D10-E10)</f>
        <v/>
      </c>
      <c r="H10" s="12" t="inlineStr">
        <is>
          <t>Máximo disponible</t>
        </is>
      </c>
      <c r="I10" s="11">
        <f>IFERROR(MAX(F5:F16),0)</f>
        <v/>
      </c>
    </row>
    <row r="11">
      <c r="A11" s="9" t="inlineStr">
        <is>
          <t>Julio</t>
        </is>
      </c>
      <c r="B11" s="10" t="n"/>
      <c r="C11" s="10" t="n"/>
      <c r="D11" s="11">
        <f>IF(B11="","",B11*'3 Sistema'!$C$6)</f>
        <v/>
      </c>
      <c r="E11" s="11">
        <f>IF(B11="","",'3 Sistema'!$C$8)</f>
        <v/>
      </c>
      <c r="F11" s="11">
        <f>IF(B11="","",B11-D11-E11)</f>
        <v/>
      </c>
      <c r="H11" s="12" t="inlineStr">
        <is>
          <t>Desvío estándar del ingreso bruto</t>
        </is>
      </c>
      <c r="I11" s="11">
        <f>IFERROR(STDEVP(B5:B16),0)</f>
        <v/>
      </c>
    </row>
    <row r="12">
      <c r="A12" s="9" t="inlineStr">
        <is>
          <t>Agosto</t>
        </is>
      </c>
      <c r="B12" s="10" t="n"/>
      <c r="C12" s="10" t="n"/>
      <c r="D12" s="11">
        <f>IF(B12="","",B12*'3 Sistema'!$C$6)</f>
        <v/>
      </c>
      <c r="E12" s="11">
        <f>IF(B12="","",'3 Sistema'!$C$8)</f>
        <v/>
      </c>
      <c r="F12" s="11">
        <f>IF(B12="","",B12-D12-E12)</f>
        <v/>
      </c>
      <c r="H12" s="12" t="inlineStr">
        <is>
          <t>Coeficiente de variación (CV)</t>
        </is>
      </c>
      <c r="I12" s="14">
        <f>IFERROR(I11/I5,0)</f>
        <v/>
      </c>
    </row>
    <row r="13">
      <c r="A13" s="9" t="inlineStr">
        <is>
          <t>Septiembre</t>
        </is>
      </c>
      <c r="B13" s="10" t="n"/>
      <c r="C13" s="10" t="n"/>
      <c r="D13" s="11">
        <f>IF(B13="","",B13*'3 Sistema'!$C$6)</f>
        <v/>
      </c>
      <c r="E13" s="11">
        <f>IF(B13="","",'3 Sistema'!$C$8)</f>
        <v/>
      </c>
      <c r="F13" s="11">
        <f>IF(B13="","",B13-D13-E13)</f>
        <v/>
      </c>
      <c r="H13" s="12" t="inlineStr">
        <is>
          <t>Variabilidad</t>
        </is>
      </c>
      <c r="I13" s="15">
        <f>IF(COUNT(B5:B16)=0,"",IF(I12&lt;0.15,"Baja",IF(I12&lt;0.3,"Moderada",IF(I12&lt;0.5,"Alta","Muy alta"))))</f>
        <v/>
      </c>
    </row>
    <row r="14">
      <c r="A14" s="9" t="inlineStr">
        <is>
          <t>Octubre</t>
        </is>
      </c>
      <c r="B14" s="10" t="n"/>
      <c r="C14" s="10" t="n"/>
      <c r="D14" s="11">
        <f>IF(B14="","",B14*'3 Sistema'!$C$6)</f>
        <v/>
      </c>
      <c r="E14" s="11">
        <f>IF(B14="","",'3 Sistema'!$C$8)</f>
        <v/>
      </c>
      <c r="F14" s="11">
        <f>IF(B14="","",B14-D14-E14)</f>
        <v/>
      </c>
      <c r="H14" s="12" t="inlineStr">
        <is>
          <t>Atajo: piso bruto ÷ promedio bruto</t>
        </is>
      </c>
      <c r="I14" s="16">
        <f>IFERROR(AVERAGE(SMALL(B5:B16,1),SMALL(B5:B16,2),SMALL(B5:B16,3))/I5,0)</f>
        <v/>
      </c>
    </row>
    <row r="15">
      <c r="A15" s="9" t="inlineStr">
        <is>
          <t>Noviembre</t>
        </is>
      </c>
      <c r="B15" s="10" t="n"/>
      <c r="C15" s="10" t="n"/>
      <c r="D15" s="11">
        <f>IF(B15="","",B15*'3 Sistema'!$C$6)</f>
        <v/>
      </c>
      <c r="E15" s="11">
        <f>IF(B15="","",'3 Sistema'!$C$8)</f>
        <v/>
      </c>
      <c r="F15" s="11">
        <f>IF(B15="","",B15-D15-E15)</f>
        <v/>
      </c>
      <c r="H15" s="12" t="inlineStr">
        <is>
          <t>Meses por debajo del promedio disponible</t>
        </is>
      </c>
      <c r="I15" s="17">
        <f>COUNTIF(F5:F16,"&lt;"&amp;I6)</f>
        <v/>
      </c>
    </row>
    <row r="16">
      <c r="A16" s="9" t="inlineStr">
        <is>
          <t>Diciembre</t>
        </is>
      </c>
      <c r="B16" s="10" t="n"/>
      <c r="C16" s="10" t="n"/>
      <c r="D16" s="11">
        <f>IF(B16="","",B16*'3 Sistema'!$C$6)</f>
        <v/>
      </c>
      <c r="E16" s="11">
        <f>IF(B16="","",'3 Sistema'!$C$8)</f>
        <v/>
      </c>
      <c r="F16" s="11">
        <f>IF(B16="","",B16-D16-E16)</f>
        <v/>
      </c>
      <c r="H16" s="12" t="inlineStr">
        <is>
          <t>Meses con datos</t>
        </is>
      </c>
      <c r="I16" s="17">
        <f>COUNT(B5:B16)</f>
        <v/>
      </c>
    </row>
    <row r="17">
      <c r="A17" s="18" t="inlineStr">
        <is>
          <t>Total</t>
        </is>
      </c>
      <c r="B17" s="13">
        <f>SUM(B5:B16)</f>
        <v/>
      </c>
      <c r="C17" s="13">
        <f>SUM(C5:C16)</f>
        <v/>
      </c>
      <c r="D17" s="13">
        <f>SUM(D5:D16)</f>
        <v/>
      </c>
      <c r="E17" s="13">
        <f>SUM(E5:E16)</f>
        <v/>
      </c>
      <c r="F17" s="13">
        <f>SUM(F5:F16)</f>
        <v/>
      </c>
    </row>
    <row r="18">
      <c r="A18" s="19" t="inlineStr">
        <is>
          <t>La columna E toma por defecto tus gastos mensuales de la actividad (hoja 3). Puedes escribir encima el valor real de cada mes.</t>
        </is>
      </c>
    </row>
    <row r="21">
      <c r="A21" s="3" t="inlineStr">
        <is>
          <t>Concentración de clientes (últimos 12 meses)</t>
        </is>
      </c>
    </row>
    <row r="22" ht="30" customHeight="1">
      <c r="A22" s="8" t="inlineStr">
        <is>
          <t>Cliente</t>
        </is>
      </c>
      <c r="B22" s="8" t="inlineStr">
        <is>
          <t>Cobrado en el año</t>
        </is>
      </c>
      <c r="C22" s="8" t="inlineStr">
        <is>
          <t>% del total</t>
        </is>
      </c>
      <c r="H22" s="12" t="inlineStr">
        <is>
          <t>Cliente principal (% del total)</t>
        </is>
      </c>
      <c r="I22" s="20">
        <f>IFERROR(MAX(B23:B32)/SUM(B23:B32),0)</f>
        <v/>
      </c>
    </row>
    <row r="23">
      <c r="A23" s="9" t="n"/>
      <c r="B23" s="10" t="n"/>
      <c r="C23" s="14">
        <f>IF(B23="","",B23/SUM($B$23:$B$32))</f>
        <v/>
      </c>
      <c r="H23" s="12" t="inlineStr">
        <is>
          <t>Tres clientes principales (% del total)</t>
        </is>
      </c>
      <c r="I23" s="14">
        <f>IFERROR((LARGE(B23:B32,1)+IFERROR(LARGE(B23:B32,2),0)+IFERROR(LARGE(B23:B32,3),0))/SUM(B23:B32),0)</f>
        <v/>
      </c>
    </row>
    <row r="24">
      <c r="A24" s="9" t="n"/>
      <c r="B24" s="10" t="n"/>
      <c r="C24" s="14">
        <f>IF(B24="","",B24/SUM($B$23:$B$32))</f>
        <v/>
      </c>
      <c r="H24" s="12" t="inlineStr">
        <is>
          <t>Señal de alerta</t>
        </is>
      </c>
      <c r="I24" s="21">
        <f>IF(I22&gt;0.4,"Un cliente supera el 40 %",IF(I23&gt;0.8,"3 clientes superan el 80 %","Sin alerta"))</f>
        <v/>
      </c>
    </row>
    <row r="25">
      <c r="A25" s="9" t="n"/>
      <c r="B25" s="10" t="n"/>
      <c r="C25" s="14">
        <f>IF(B25="","",B25/SUM($B$23:$B$32))</f>
        <v/>
      </c>
    </row>
    <row r="26">
      <c r="A26" s="9" t="n"/>
      <c r="B26" s="10" t="n"/>
      <c r="C26" s="14">
        <f>IF(B26="","",B26/SUM($B$23:$B$32))</f>
        <v/>
      </c>
    </row>
    <row r="27">
      <c r="A27" s="9" t="n"/>
      <c r="B27" s="10" t="n"/>
      <c r="C27" s="14">
        <f>IF(B27="","",B27/SUM($B$23:$B$32))</f>
        <v/>
      </c>
    </row>
    <row r="28">
      <c r="A28" s="9" t="n"/>
      <c r="B28" s="10" t="n"/>
      <c r="C28" s="14">
        <f>IF(B28="","",B28/SUM($B$23:$B$32))</f>
        <v/>
      </c>
    </row>
    <row r="29">
      <c r="A29" s="9" t="n"/>
      <c r="B29" s="10" t="n"/>
      <c r="C29" s="14">
        <f>IF(B29="","",B29/SUM($B$23:$B$32))</f>
        <v/>
      </c>
    </row>
    <row r="30">
      <c r="A30" s="9" t="n"/>
      <c r="B30" s="10" t="n"/>
      <c r="C30" s="14">
        <f>IF(B30="","",B30/SUM($B$23:$B$32))</f>
        <v/>
      </c>
    </row>
    <row r="31">
      <c r="A31" s="9" t="n"/>
      <c r="B31" s="10" t="n"/>
      <c r="C31" s="14">
        <f>IF(B31="","",B31/SUM($B$23:$B$32))</f>
        <v/>
      </c>
    </row>
    <row r="32">
      <c r="A32" s="9" t="n"/>
      <c r="B32" s="10" t="n"/>
      <c r="C32" s="14">
        <f>IF(B32="","",B32/SUM($B$23:$B$32))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FB5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4" customWidth="1" min="4" max="4"/>
    <col width="34" customWidth="1" min="5" max="5"/>
    <col width="3" customWidth="1" min="6" max="6"/>
    <col width="34" customWidth="1" min="7" max="7"/>
    <col width="15" customWidth="1" min="8" max="8"/>
  </cols>
  <sheetData>
    <row r="1">
      <c r="A1" s="1" t="inlineStr">
        <is>
          <t>2 · Radiografía de tus gastos</t>
        </is>
      </c>
    </row>
    <row r="2">
      <c r="A2" s="2" t="inlineStr">
        <is>
          <t>Gastos personales mensuales. Los gastos de tu actividad NO van aquí (van en la hoja 3).</t>
        </is>
      </c>
    </row>
    <row r="4" ht="30" customHeight="1">
      <c r="A4" s="8" t="inlineStr">
        <is>
          <t>Gasto</t>
        </is>
      </c>
      <c r="B4" s="8" t="inlineStr">
        <is>
          <t>Categoría</t>
        </is>
      </c>
      <c r="C4" s="8" t="inlineStr">
        <is>
          <t>Monto mensual</t>
        </is>
      </c>
      <c r="D4" s="8" t="inlineStr">
        <is>
          <t>¿Compromiso fijo?</t>
        </is>
      </c>
      <c r="E4" s="8" t="inlineStr">
        <is>
          <t>Nota</t>
        </is>
      </c>
      <c r="G4" s="8" t="inlineStr">
        <is>
          <t>Resumen</t>
        </is>
      </c>
      <c r="H4" s="8" t="inlineStr">
        <is>
          <t>Monto</t>
        </is>
      </c>
    </row>
    <row r="5">
      <c r="A5" s="21" t="inlineStr">
        <is>
          <t>Gastos irregulares del año (desde la hoja 6)</t>
        </is>
      </c>
      <c r="B5" s="21" t="inlineStr">
        <is>
          <t>Previsión</t>
        </is>
      </c>
      <c r="C5" s="11">
        <f>'6 Previsiones'!$C$5</f>
        <v/>
      </c>
      <c r="D5" s="21" t="inlineStr">
        <is>
          <t>No</t>
        </is>
      </c>
      <c r="E5" s="21" t="inlineStr">
        <is>
          <t>Se calcula en la hoja 6. No la borres.</t>
        </is>
      </c>
      <c r="G5" s="12" t="inlineStr">
        <is>
          <t>Esenciales</t>
        </is>
      </c>
      <c r="H5" s="11">
        <f>SUMIF(B5:B44,"Esencial",C5:C44)</f>
        <v/>
      </c>
    </row>
    <row r="6">
      <c r="A6" s="9" t="n"/>
      <c r="B6" s="9" t="n"/>
      <c r="C6" s="10" t="n"/>
      <c r="D6" s="9" t="n"/>
      <c r="E6" s="9" t="n"/>
      <c r="G6" s="12" t="inlineStr">
        <is>
          <t>Importantes</t>
        </is>
      </c>
      <c r="H6" s="11">
        <f>SUMIF(B5:B44,"Importante",C5:C44)</f>
        <v/>
      </c>
    </row>
    <row r="7">
      <c r="A7" s="9" t="n"/>
      <c r="B7" s="9" t="n"/>
      <c r="C7" s="10" t="n"/>
      <c r="D7" s="9" t="n"/>
      <c r="E7" s="9" t="n"/>
      <c r="G7" s="12" t="inlineStr">
        <is>
          <t>Flexibles</t>
        </is>
      </c>
      <c r="H7" s="11">
        <f>SUMIF(B5:B44,"Flexible",C5:C44)</f>
        <v/>
      </c>
    </row>
    <row r="8">
      <c r="A8" s="9" t="n"/>
      <c r="B8" s="9" t="n"/>
      <c r="C8" s="10" t="n"/>
      <c r="D8" s="9" t="n"/>
      <c r="E8" s="9" t="n"/>
      <c r="G8" s="12" t="inlineStr">
        <is>
          <t>Previsiones (mensual)</t>
        </is>
      </c>
      <c r="H8" s="11">
        <f>SUMIF(B5:B44,"Previsión",C5:C44)</f>
        <v/>
      </c>
    </row>
    <row r="9">
      <c r="A9" s="9" t="n"/>
      <c r="B9" s="9" t="n"/>
      <c r="C9" s="10" t="n"/>
      <c r="D9" s="9" t="n"/>
      <c r="E9" s="9" t="n"/>
    </row>
    <row r="10">
      <c r="A10" s="9" t="n"/>
      <c r="B10" s="9" t="n"/>
      <c r="C10" s="10" t="n"/>
      <c r="D10" s="9" t="n"/>
      <c r="E10" s="9" t="n"/>
      <c r="G10" s="18" t="inlineStr">
        <is>
          <t>Costo de vida normal</t>
        </is>
      </c>
      <c r="H10" s="13">
        <f>H5+H6+H7+H8</f>
        <v/>
      </c>
    </row>
    <row r="11">
      <c r="A11" s="9" t="n"/>
      <c r="B11" s="9" t="n"/>
      <c r="C11" s="10" t="n"/>
      <c r="D11" s="9" t="n"/>
      <c r="E11" s="9" t="n"/>
      <c r="G11" s="12" t="inlineStr">
        <is>
          <t>Modo ajuste (sin flexibles)</t>
        </is>
      </c>
      <c r="H11" s="11">
        <f>H5+H6+H8</f>
        <v/>
      </c>
    </row>
    <row r="12">
      <c r="A12" s="9" t="n"/>
      <c r="B12" s="9" t="n"/>
      <c r="C12" s="10" t="n"/>
      <c r="D12" s="9" t="n"/>
      <c r="E12" s="9" t="n"/>
      <c r="G12" s="18" t="inlineStr">
        <is>
          <t>Número de supervivencia</t>
        </is>
      </c>
      <c r="H12" s="13">
        <f>H5</f>
        <v/>
      </c>
    </row>
    <row r="13">
      <c r="A13" s="9" t="n"/>
      <c r="B13" s="9" t="n"/>
      <c r="C13" s="10" t="n"/>
      <c r="D13" s="9" t="n"/>
      <c r="E13" s="9" t="n"/>
    </row>
    <row r="14">
      <c r="A14" s="9" t="n"/>
      <c r="B14" s="9" t="n"/>
      <c r="C14" s="10" t="n"/>
      <c r="D14" s="9" t="n"/>
      <c r="E14" s="9" t="n"/>
      <c r="G14" s="12" t="inlineStr">
        <is>
          <t>Compromisos fijos</t>
        </is>
      </c>
      <c r="H14" s="11">
        <f>SUMIF(D5:D44,"Sí",C5:C44)</f>
        <v/>
      </c>
    </row>
    <row r="15">
      <c r="A15" s="9" t="n"/>
      <c r="B15" s="9" t="n"/>
      <c r="C15" s="10" t="n"/>
      <c r="D15" s="9" t="n"/>
      <c r="E15" s="9" t="n"/>
      <c r="G15" s="12" t="inlineStr">
        <is>
          <t>Tu piso (hoja 1)</t>
        </is>
      </c>
      <c r="H15" s="11">
        <f>'1 Ingresos'!I9</f>
        <v/>
      </c>
    </row>
    <row r="16">
      <c r="A16" s="9" t="n"/>
      <c r="B16" s="9" t="n"/>
      <c r="C16" s="10" t="n"/>
      <c r="D16" s="9" t="n"/>
      <c r="E16" s="9" t="n"/>
      <c r="G16" s="12" t="inlineStr">
        <is>
          <t>Regla del piso</t>
        </is>
      </c>
      <c r="H16" s="11">
        <f>IF(OR(H14=0,H15=0),"",IF(H14&lt;=H15,"Cumple","No cumple: revisa compromisos fijos"))</f>
        <v/>
      </c>
    </row>
    <row r="17">
      <c r="A17" s="9" t="n"/>
      <c r="B17" s="9" t="n"/>
      <c r="C17" s="10" t="n"/>
      <c r="D17" s="9" t="n"/>
      <c r="E17" s="9" t="n"/>
    </row>
    <row r="18">
      <c r="A18" s="9" t="n"/>
      <c r="B18" s="9" t="n"/>
      <c r="C18" s="10" t="n"/>
      <c r="D18" s="9" t="n"/>
      <c r="E18" s="9" t="n"/>
    </row>
    <row r="19">
      <c r="A19" s="9" t="n"/>
      <c r="B19" s="9" t="n"/>
      <c r="C19" s="10" t="n"/>
      <c r="D19" s="9" t="n"/>
      <c r="E19" s="9" t="n"/>
    </row>
    <row r="20">
      <c r="A20" s="9" t="n"/>
      <c r="B20" s="9" t="n"/>
      <c r="C20" s="10" t="n"/>
      <c r="D20" s="9" t="n"/>
      <c r="E20" s="9" t="n"/>
    </row>
    <row r="21">
      <c r="A21" s="9" t="n"/>
      <c r="B21" s="9" t="n"/>
      <c r="C21" s="10" t="n"/>
      <c r="D21" s="9" t="n"/>
      <c r="E21" s="9" t="n"/>
    </row>
    <row r="22">
      <c r="A22" s="9" t="n"/>
      <c r="B22" s="9" t="n"/>
      <c r="C22" s="10" t="n"/>
      <c r="D22" s="9" t="n"/>
      <c r="E22" s="9" t="n"/>
    </row>
    <row r="23">
      <c r="A23" s="9" t="n"/>
      <c r="B23" s="9" t="n"/>
      <c r="C23" s="10" t="n"/>
      <c r="D23" s="9" t="n"/>
      <c r="E23" s="9" t="n"/>
    </row>
    <row r="24">
      <c r="A24" s="9" t="n"/>
      <c r="B24" s="9" t="n"/>
      <c r="C24" s="10" t="n"/>
      <c r="D24" s="9" t="n"/>
      <c r="E24" s="9" t="n"/>
    </row>
    <row r="25">
      <c r="A25" s="9" t="n"/>
      <c r="B25" s="9" t="n"/>
      <c r="C25" s="10" t="n"/>
      <c r="D25" s="9" t="n"/>
      <c r="E25" s="9" t="n"/>
    </row>
    <row r="26">
      <c r="A26" s="9" t="n"/>
      <c r="B26" s="9" t="n"/>
      <c r="C26" s="10" t="n"/>
      <c r="D26" s="9" t="n"/>
      <c r="E26" s="9" t="n"/>
    </row>
    <row r="27">
      <c r="A27" s="9" t="n"/>
      <c r="B27" s="9" t="n"/>
      <c r="C27" s="10" t="n"/>
      <c r="D27" s="9" t="n"/>
      <c r="E27" s="9" t="n"/>
    </row>
    <row r="28">
      <c r="A28" s="9" t="n"/>
      <c r="B28" s="9" t="n"/>
      <c r="C28" s="10" t="n"/>
      <c r="D28" s="9" t="n"/>
      <c r="E28" s="9" t="n"/>
    </row>
    <row r="29">
      <c r="A29" s="9" t="n"/>
      <c r="B29" s="9" t="n"/>
      <c r="C29" s="10" t="n"/>
      <c r="D29" s="9" t="n"/>
      <c r="E29" s="9" t="n"/>
    </row>
    <row r="30">
      <c r="A30" s="9" t="n"/>
      <c r="B30" s="9" t="n"/>
      <c r="C30" s="10" t="n"/>
      <c r="D30" s="9" t="n"/>
      <c r="E30" s="9" t="n"/>
    </row>
    <row r="31">
      <c r="A31" s="9" t="n"/>
      <c r="B31" s="9" t="n"/>
      <c r="C31" s="10" t="n"/>
      <c r="D31" s="9" t="n"/>
      <c r="E31" s="9" t="n"/>
    </row>
    <row r="32">
      <c r="A32" s="9" t="n"/>
      <c r="B32" s="9" t="n"/>
      <c r="C32" s="10" t="n"/>
      <c r="D32" s="9" t="n"/>
      <c r="E32" s="9" t="n"/>
    </row>
    <row r="33">
      <c r="A33" s="9" t="n"/>
      <c r="B33" s="9" t="n"/>
      <c r="C33" s="10" t="n"/>
      <c r="D33" s="9" t="n"/>
      <c r="E33" s="9" t="n"/>
    </row>
    <row r="34">
      <c r="A34" s="9" t="n"/>
      <c r="B34" s="9" t="n"/>
      <c r="C34" s="10" t="n"/>
      <c r="D34" s="9" t="n"/>
      <c r="E34" s="9" t="n"/>
    </row>
    <row r="35">
      <c r="A35" s="9" t="n"/>
      <c r="B35" s="9" t="n"/>
      <c r="C35" s="10" t="n"/>
      <c r="D35" s="9" t="n"/>
      <c r="E35" s="9" t="n"/>
    </row>
    <row r="36">
      <c r="A36" s="9" t="n"/>
      <c r="B36" s="9" t="n"/>
      <c r="C36" s="10" t="n"/>
      <c r="D36" s="9" t="n"/>
      <c r="E36" s="9" t="n"/>
    </row>
    <row r="37">
      <c r="A37" s="9" t="n"/>
      <c r="B37" s="9" t="n"/>
      <c r="C37" s="10" t="n"/>
      <c r="D37" s="9" t="n"/>
      <c r="E37" s="9" t="n"/>
    </row>
    <row r="38">
      <c r="A38" s="9" t="n"/>
      <c r="B38" s="9" t="n"/>
      <c r="C38" s="10" t="n"/>
      <c r="D38" s="9" t="n"/>
      <c r="E38" s="9" t="n"/>
    </row>
    <row r="39">
      <c r="A39" s="9" t="n"/>
      <c r="B39" s="9" t="n"/>
      <c r="C39" s="10" t="n"/>
      <c r="D39" s="9" t="n"/>
      <c r="E39" s="9" t="n"/>
    </row>
    <row r="40">
      <c r="A40" s="9" t="n"/>
      <c r="B40" s="9" t="n"/>
      <c r="C40" s="10" t="n"/>
      <c r="D40" s="9" t="n"/>
      <c r="E40" s="9" t="n"/>
    </row>
    <row r="41">
      <c r="A41" s="9" t="n"/>
      <c r="B41" s="9" t="n"/>
      <c r="C41" s="10" t="n"/>
      <c r="D41" s="9" t="n"/>
      <c r="E41" s="9" t="n"/>
    </row>
    <row r="42">
      <c r="A42" s="9" t="n"/>
      <c r="B42" s="9" t="n"/>
      <c r="C42" s="10" t="n"/>
      <c r="D42" s="9" t="n"/>
      <c r="E42" s="9" t="n"/>
    </row>
    <row r="43">
      <c r="A43" s="9" t="n"/>
      <c r="B43" s="9" t="n"/>
      <c r="C43" s="10" t="n"/>
      <c r="D43" s="9" t="n"/>
      <c r="E43" s="9" t="n"/>
    </row>
    <row r="44">
      <c r="A44" s="9" t="n"/>
      <c r="B44" s="9" t="n"/>
      <c r="C44" s="10" t="n"/>
      <c r="D44" s="9" t="n"/>
      <c r="E44" s="9" t="n"/>
    </row>
  </sheetData>
  <dataValidations count="2">
    <dataValidation sqref="B6:B44" showDropDown="0" showInputMessage="0" showErrorMessage="0" allowBlank="1" type="list">
      <formula1>"Esencial,Importante,Flexible,Previsión"</formula1>
    </dataValidation>
    <dataValidation sqref="D6:D4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FB5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60" customWidth="1" min="4" max="4"/>
  </cols>
  <sheetData>
    <row r="1">
      <c r="A1" s="1" t="inlineStr">
        <is>
          <t>3 · La ficha de tu sistema</t>
        </is>
      </c>
    </row>
    <row r="2">
      <c r="A2" s="2" t="inlineStr">
        <is>
          <t>Completa las celdas amarillas. El resto se calcula a partir de las hojas 1, 2, 6 y 7.</t>
        </is>
      </c>
    </row>
    <row r="4">
      <c r="B4" s="22" t="inlineStr">
        <is>
          <t>Reglas de entrada</t>
        </is>
      </c>
      <c r="C4" s="23" t="n"/>
      <c r="D4" s="23" t="n"/>
    </row>
    <row r="5">
      <c r="B5" s="12" t="inlineStr">
        <is>
          <t>Moneda de referencia</t>
        </is>
      </c>
      <c r="C5" s="9" t="n"/>
      <c r="D5" s="24" t="inlineStr">
        <is>
          <t>Por ejemplo: USD, EUR, MXN.</t>
        </is>
      </c>
    </row>
    <row r="6">
      <c r="B6" s="12" t="inlineStr">
        <is>
          <t>% de reserva de impuestos (de cada cobro bruto)</t>
        </is>
      </c>
      <c r="C6" s="25" t="n"/>
      <c r="D6" s="24" t="inlineStr">
        <is>
          <t>Capítulo 5. Si cobras IVA, además separas el 100 % del IVA (hoja 4).</t>
        </is>
      </c>
    </row>
    <row r="7">
      <c r="B7" s="12" t="inlineStr">
        <is>
          <t>Día de barrido / día de pago</t>
        </is>
      </c>
      <c r="C7" s="9" t="n"/>
      <c r="D7" s="24" t="inlineStr">
        <is>
          <t>Por ejemplo: viernes / día 1.</t>
        </is>
      </c>
    </row>
    <row r="8">
      <c r="B8" s="12" t="inlineStr">
        <is>
          <t>Gastos de la actividad por mes</t>
        </is>
      </c>
      <c r="C8" s="10" t="n"/>
      <c r="D8" s="24" t="inlineStr">
        <is>
          <t>Software, equipos (prorrateados), contador, comisiones… (capítulo 10).</t>
        </is>
      </c>
    </row>
    <row r="9">
      <c r="B9" s="12" t="inlineStr">
        <is>
          <t>Colchón operativo de la cuenta de Entrada</t>
        </is>
      </c>
      <c r="C9" s="11">
        <f>C8</f>
        <v/>
      </c>
      <c r="D9" s="24" t="inlineStr">
        <is>
          <t>Un mes de gastos de la actividad.</t>
        </is>
      </c>
    </row>
    <row r="11">
      <c r="B11" s="22" t="inlineStr">
        <is>
          <t>Sueldos</t>
        </is>
      </c>
      <c r="C11" s="23" t="n"/>
      <c r="D11" s="23" t="n"/>
    </row>
    <row r="12">
      <c r="B12" s="12" t="inlineStr">
        <is>
          <t>Costo de vida normal</t>
        </is>
      </c>
      <c r="C12" s="11">
        <f>'2 Gastos'!H10</f>
        <v/>
      </c>
      <c r="D12" s="24" t="inlineStr"/>
    </row>
    <row r="13">
      <c r="B13" s="12" t="inlineStr">
        <is>
          <t>Sueldo meta calculado (redondeado a la centena)</t>
        </is>
      </c>
      <c r="C13" s="11">
        <f>ROUNDUP(C12,-2)</f>
        <v/>
      </c>
      <c r="D13" s="24" t="inlineStr"/>
    </row>
    <row r="14">
      <c r="B14" s="12" t="inlineStr">
        <is>
          <t>Sueldo meta ajustado a mano (opcional)</t>
        </is>
      </c>
      <c r="C14" s="10" t="n"/>
      <c r="D14" s="24" t="inlineStr">
        <is>
          <t>Déjalo vacío para usar el calculado.</t>
        </is>
      </c>
    </row>
    <row r="15">
      <c r="B15" s="18" t="inlineStr">
        <is>
          <t>SUELDO META</t>
        </is>
      </c>
      <c r="C15" s="13">
        <f>IF(C14="",C13,C14)</f>
        <v/>
      </c>
      <c r="D15" s="24" t="inlineStr"/>
    </row>
    <row r="16">
      <c r="B16" s="12" t="inlineStr">
        <is>
          <t>Ingreso disponible promedio</t>
        </is>
      </c>
      <c r="C16" s="11">
        <f>'1 Ingresos'!I6</f>
        <v/>
      </c>
      <c r="D16" s="24" t="inlineStr"/>
    </row>
    <row r="17">
      <c r="B17" s="12" t="inlineStr">
        <is>
          <t>80 % del ingreso disponible promedio</t>
        </is>
      </c>
      <c r="C17" s="11">
        <f>0.8*C16</f>
        <v/>
      </c>
      <c r="D17" s="24" t="inlineStr"/>
    </row>
    <row r="18">
      <c r="B18" s="18" t="inlineStr">
        <is>
          <t>Prueba del 80 %</t>
        </is>
      </c>
      <c r="C18" s="15">
        <f>IF(OR(C15=0,C16=0),"",IF(C15&lt;=C17,"Cumple","No cumple: ver capítulo 6"))</f>
        <v/>
      </c>
      <c r="D18" s="24" t="inlineStr"/>
    </row>
    <row r="19">
      <c r="B19" s="12" t="inlineStr">
        <is>
          <t>Número de supervivencia</t>
        </is>
      </c>
      <c r="C19" s="11">
        <f>'2 Gastos'!H12</f>
        <v/>
      </c>
      <c r="D19" s="24" t="inlineStr"/>
    </row>
    <row r="20">
      <c r="B20" s="12" t="inlineStr">
        <is>
          <t>Sueldo en modo ajuste</t>
        </is>
      </c>
      <c r="C20" s="11">
        <f>'2 Gastos'!H11</f>
        <v/>
      </c>
      <c r="D20" s="24" t="inlineStr"/>
    </row>
    <row r="21">
      <c r="B21" s="12" t="inlineStr">
        <is>
          <t>Piso</t>
        </is>
      </c>
      <c r="C21" s="11">
        <f>'1 Ingresos'!I9</f>
        <v/>
      </c>
      <c r="D21" s="24" t="inlineStr"/>
    </row>
    <row r="22">
      <c r="B22" s="18" t="inlineStr">
        <is>
          <t>SUELDO DE ARRANQUE</t>
        </is>
      </c>
      <c r="C22" s="13">
        <f>MIN(C15,ROUNDUP(MAX(C19,C21),-2))</f>
        <v/>
      </c>
      <c r="D22" s="24" t="inlineStr">
        <is>
          <t>El mayor entre supervivencia y piso, redondeado, sin superar el sueldo meta.</t>
        </is>
      </c>
    </row>
    <row r="23">
      <c r="B23" s="12" t="inlineStr">
        <is>
          <t>Umbral de transición (embalse antes de pagarte)</t>
        </is>
      </c>
      <c r="C23" s="11">
        <f>2*C15</f>
        <v/>
      </c>
      <c r="D23" s="24" t="inlineStr">
        <is>
          <t>Pasas al sueldo meta cuando el embalse alcanza este monto el día de pago.</t>
        </is>
      </c>
    </row>
    <row r="25">
      <c r="B25" s="22" t="inlineStr">
        <is>
          <t>Meta del embalse</t>
        </is>
      </c>
      <c r="C25" s="23" t="n"/>
      <c r="D25" s="23" t="n"/>
    </row>
    <row r="26">
      <c r="B26" s="12" t="inlineStr">
        <is>
          <t>Variabilidad (hoja 1)</t>
        </is>
      </c>
      <c r="C26" s="21">
        <f>'1 Ingresos'!I13</f>
        <v/>
      </c>
      <c r="D26" s="24" t="inlineStr"/>
    </row>
    <row r="27">
      <c r="B27" s="12" t="inlineStr">
        <is>
          <t>Meses base</t>
        </is>
      </c>
      <c r="C27" s="17">
        <f>IF(C26="","",IF(C26="Baja",3,IF(C26="Moderada",4,IF(C26="Alta",6,9))))</f>
        <v/>
      </c>
      <c r="D27" s="24" t="inlineStr"/>
    </row>
    <row r="28">
      <c r="B28" s="12" t="inlineStr">
        <is>
          <t>¿Un cliente aporta más del 40 %? (+2)</t>
        </is>
      </c>
      <c r="C28" s="21">
        <f>IF('1 Ingresos'!I22&gt;0.4,"Sí","No")</f>
        <v/>
      </c>
      <c r="D28" s="24" t="inlineStr">
        <is>
          <t>Se calcula con la hoja 1.</t>
        </is>
      </c>
    </row>
    <row r="29">
      <c r="B29" s="12" t="inlineStr">
        <is>
          <t>¿Personas a cargo o eres el único ingreso del hogar? (+2)</t>
        </is>
      </c>
      <c r="C29" s="9" t="n"/>
      <c r="D29" s="24" t="inlineStr"/>
    </row>
    <row r="30">
      <c r="B30" s="12" t="inlineStr">
        <is>
          <t>¿Temporada baja con meses cercanos a cero? (+1)</t>
        </is>
      </c>
      <c r="C30" s="9" t="n"/>
      <c r="D30" s="24" t="inlineStr"/>
    </row>
    <row r="31">
      <c r="B31" s="12" t="inlineStr">
        <is>
          <t>¿Otro ingreso estable en el hogar cubre los esenciales? (−1)</t>
        </is>
      </c>
      <c r="C31" s="9" t="n"/>
      <c r="D31" s="24" t="inlineStr"/>
    </row>
    <row r="32">
      <c r="B32" s="18" t="inlineStr">
        <is>
          <t>M (meses de sueldo meta, entre 3 y 12)</t>
        </is>
      </c>
      <c r="C32" s="26">
        <f>IF(C27="","",MAX(3,MIN(12,C27+IF(C28="Sí",2,0)+IF(C29="Sí",2,0)+IF(C30="Sí",1,0)-IF(C31="Sí",1,0))))</f>
        <v/>
      </c>
      <c r="D32" s="24" t="inlineStr"/>
    </row>
    <row r="33">
      <c r="B33" s="18" t="inlineStr">
        <is>
          <t>META DEL EMBALSE</t>
        </is>
      </c>
      <c r="C33" s="13">
        <f>IF(C32="","",C32*C15)</f>
        <v/>
      </c>
      <c r="D33" s="24" t="inlineStr"/>
    </row>
    <row r="35">
      <c r="B35" s="22" t="inlineStr">
        <is>
          <t>Semáforo (sueldos meta en el embalse después de pagarte)</t>
        </is>
      </c>
      <c r="C35" s="23" t="n"/>
      <c r="D35" s="23" t="n"/>
    </row>
    <row r="36">
      <c r="B36" s="12" t="inlineStr">
        <is>
          <t>Verde: desde</t>
        </is>
      </c>
      <c r="C36" s="11">
        <f>3*C15</f>
        <v/>
      </c>
      <c r="D36" s="24" t="inlineStr">
        <is>
          <t>3 sueldos meta o más: funcionamiento normal.</t>
        </is>
      </c>
    </row>
    <row r="37">
      <c r="B37" s="12" t="inlineStr">
        <is>
          <t>Amarillo: desde</t>
        </is>
      </c>
      <c r="C37" s="11">
        <f>1*C15</f>
        <v/>
      </c>
      <c r="D37" s="24" t="inlineStr">
        <is>
          <t>Entre 1 y 3: sin compromisos fijos nuevos.</t>
        </is>
      </c>
    </row>
    <row r="38">
      <c r="B38" s="12" t="inlineStr">
        <is>
          <t>Naranja: desde</t>
        </is>
      </c>
      <c r="C38" s="11">
        <f>0.5*C15</f>
        <v/>
      </c>
      <c r="D38" s="24" t="inlineStr">
        <is>
          <t>Entre medio y 1: modo ajuste y plan comercial.</t>
        </is>
      </c>
    </row>
    <row r="39">
      <c r="B39" s="12" t="inlineStr">
        <is>
          <t>Rojo: por debajo de</t>
        </is>
      </c>
      <c r="C39" s="11">
        <f>0.5*C15</f>
        <v/>
      </c>
      <c r="D39" s="24" t="inlineStr">
        <is>
          <t>Modo supervivencia y protocolo rojo.</t>
        </is>
      </c>
    </row>
    <row r="41">
      <c r="B41" s="22" t="inlineStr">
        <is>
          <t>Previsiones y tarifa</t>
        </is>
      </c>
      <c r="C41" s="23" t="n"/>
      <c r="D41" s="23" t="n"/>
    </row>
    <row r="42">
      <c r="B42" s="12" t="inlineStr">
        <is>
          <t>Aporte mensual a previsiones</t>
        </is>
      </c>
      <c r="C42" s="11">
        <f>'6 Previsiones'!C5</f>
        <v/>
      </c>
      <c r="D42" s="24" t="inlineStr"/>
    </row>
    <row r="43">
      <c r="B43" s="12" t="inlineStr">
        <is>
          <t>Capital semilla del primer año</t>
        </is>
      </c>
      <c r="C43" s="11">
        <f>'6 Previsiones'!C6</f>
        <v/>
      </c>
      <c r="D43" s="24" t="inlineStr"/>
    </row>
    <row r="44">
      <c r="B44" s="12" t="inlineStr">
        <is>
          <t>Tarifa mínima viable (por hora)</t>
        </is>
      </c>
      <c r="C44" s="27">
        <f>'7 Tarifa'!C17</f>
        <v/>
      </c>
      <c r="D44" s="24" t="inlineStr"/>
    </row>
    <row r="45">
      <c r="B45" s="12" t="inlineStr">
        <is>
          <t>Tarifa objetivo (por hora)</t>
        </is>
      </c>
      <c r="C45" s="27">
        <f>'7 Tarifa'!C18</f>
        <v/>
      </c>
      <c r="D45" s="24" t="inlineStr"/>
    </row>
  </sheetData>
  <dataValidations count="1">
    <dataValidation sqref="C29:C3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FB5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1" customWidth="1" min="5" max="5"/>
    <col width="13" customWidth="1" min="6" max="6"/>
    <col width="15" customWidth="1" min="7" max="7"/>
    <col width="12" customWidth="1" min="8" max="8"/>
    <col width="12" customWidth="1" min="9" max="9"/>
    <col width="3" customWidth="1" min="10" max="10"/>
    <col width="30" customWidth="1" min="11" max="11"/>
    <col width="16" customWidth="1" min="12" max="12"/>
  </cols>
  <sheetData>
    <row r="1">
      <c r="A1" s="1" t="inlineStr">
        <is>
          <t>4 · Registro de cobros</t>
        </is>
      </c>
    </row>
    <row r="2">
      <c r="A2" s="2" t="inlineStr">
        <is>
          <t>Una línea por cobro. Úsala en tu ritual semanal (capítulo 14).</t>
        </is>
      </c>
    </row>
    <row r="4" ht="30" customHeight="1">
      <c r="A4" s="8" t="inlineStr">
        <is>
          <t>Fecha</t>
        </is>
      </c>
      <c r="B4" s="8" t="inlineStr">
        <is>
          <t>Cliente</t>
        </is>
      </c>
      <c r="C4" s="8" t="inlineStr">
        <is>
          <t>Ingreso bruto (sin IVA)</t>
        </is>
      </c>
      <c r="D4" s="8" t="inlineStr">
        <is>
          <t>IVA cobrado</t>
        </is>
      </c>
      <c r="E4" s="8" t="inlineStr">
        <is>
          <t>% de reserva</t>
        </is>
      </c>
      <c r="F4" s="8" t="inlineStr">
        <is>
          <t>A Impuestos</t>
        </is>
      </c>
      <c r="G4" s="8" t="inlineStr">
        <is>
          <t>Queda en Entrada</t>
        </is>
      </c>
      <c r="H4" s="8" t="inlineStr">
        <is>
          <t>Mes (AAAAMM)</t>
        </is>
      </c>
      <c r="I4" s="8" t="inlineStr">
        <is>
          <t>¿Barrido hecho?</t>
        </is>
      </c>
      <c r="K4" s="8" t="inlineStr">
        <is>
          <t>Totales del registro</t>
        </is>
      </c>
      <c r="L4" s="8" t="inlineStr">
        <is>
          <t>Monto</t>
        </is>
      </c>
    </row>
    <row r="5">
      <c r="A5" s="28" t="n"/>
      <c r="B5" s="9" t="n"/>
      <c r="C5" s="29" t="n"/>
      <c r="D5" s="29" t="n"/>
      <c r="E5" s="14">
        <f>IF(C5="","",'3 Sistema'!$C$6)</f>
        <v/>
      </c>
      <c r="F5" s="27">
        <f>IF(C5="","",C5*E5+N(D5))</f>
        <v/>
      </c>
      <c r="G5" s="27">
        <f>IF(C5="","",C5+N(D5)-F5)</f>
        <v/>
      </c>
      <c r="H5" s="17">
        <f>IF(A5="","",YEAR(A5)*100+MONTH(A5))</f>
        <v/>
      </c>
      <c r="I5" s="9" t="n"/>
      <c r="K5" s="12" t="inlineStr">
        <is>
          <t>Ingreso bruto registrado</t>
        </is>
      </c>
      <c r="L5" s="27">
        <f>SUM(C5:C304)</f>
        <v/>
      </c>
    </row>
    <row r="6">
      <c r="A6" s="28" t="n"/>
      <c r="B6" s="9" t="n"/>
      <c r="C6" s="29" t="n"/>
      <c r="D6" s="29" t="n"/>
      <c r="E6" s="14">
        <f>IF(C6="","",'3 Sistema'!$C$6)</f>
        <v/>
      </c>
      <c r="F6" s="27">
        <f>IF(C6="","",C6*E6+N(D6))</f>
        <v/>
      </c>
      <c r="G6" s="27">
        <f>IF(C6="","",C6+N(D6)-F6)</f>
        <v/>
      </c>
      <c r="H6" s="17">
        <f>IF(A6="","",YEAR(A6)*100+MONTH(A6))</f>
        <v/>
      </c>
      <c r="I6" s="9" t="n"/>
      <c r="K6" s="12" t="inlineStr">
        <is>
          <t>Enviado a Impuestos</t>
        </is>
      </c>
      <c r="L6" s="27">
        <f>SUM(F5:F304)</f>
        <v/>
      </c>
    </row>
    <row r="7">
      <c r="A7" s="28" t="n"/>
      <c r="B7" s="9" t="n"/>
      <c r="C7" s="29" t="n"/>
      <c r="D7" s="29" t="n"/>
      <c r="E7" s="14">
        <f>IF(C7="","",'3 Sistema'!$C$6)</f>
        <v/>
      </c>
      <c r="F7" s="27">
        <f>IF(C7="","",C7*E7+N(D7))</f>
        <v/>
      </c>
      <c r="G7" s="27">
        <f>IF(C7="","",C7+N(D7)-F7)</f>
        <v/>
      </c>
      <c r="H7" s="17">
        <f>IF(A7="","",YEAR(A7)*100+MONTH(A7))</f>
        <v/>
      </c>
      <c r="I7" s="9" t="n"/>
      <c r="K7" s="12" t="inlineStr">
        <is>
          <t>Cobros sin barrido marcado</t>
        </is>
      </c>
      <c r="L7" s="17">
        <f>COUNTIFS(C5:C304,"&lt;&gt;",I5:I304,"&lt;&gt;Sí")</f>
        <v/>
      </c>
    </row>
    <row r="8">
      <c r="A8" s="28" t="n"/>
      <c r="B8" s="9" t="n"/>
      <c r="C8" s="29" t="n"/>
      <c r="D8" s="29" t="n"/>
      <c r="E8" s="14">
        <f>IF(C8="","",'3 Sistema'!$C$6)</f>
        <v/>
      </c>
      <c r="F8" s="27">
        <f>IF(C8="","",C8*E8+N(D8))</f>
        <v/>
      </c>
      <c r="G8" s="27">
        <f>IF(C8="","",C8+N(D8)-F8)</f>
        <v/>
      </c>
      <c r="H8" s="17">
        <f>IF(A8="","",YEAR(A8)*100+MONTH(A8))</f>
        <v/>
      </c>
      <c r="I8" s="9" t="n"/>
    </row>
    <row r="9">
      <c r="A9" s="28" t="n"/>
      <c r="B9" s="9" t="n"/>
      <c r="C9" s="29" t="n"/>
      <c r="D9" s="29" t="n"/>
      <c r="E9" s="14">
        <f>IF(C9="","",'3 Sistema'!$C$6)</f>
        <v/>
      </c>
      <c r="F9" s="27">
        <f>IF(C9="","",C9*E9+N(D9))</f>
        <v/>
      </c>
      <c r="G9" s="27">
        <f>IF(C9="","",C9+N(D9)-F9)</f>
        <v/>
      </c>
      <c r="H9" s="17">
        <f>IF(A9="","",YEAR(A9)*100+MONTH(A9))</f>
        <v/>
      </c>
      <c r="I9" s="9" t="n"/>
      <c r="K9" s="12" t="inlineStr">
        <is>
          <t>Bruto de un mes (escribe AAAAMM)</t>
        </is>
      </c>
      <c r="L9" s="30" t="n"/>
    </row>
    <row r="10">
      <c r="A10" s="28" t="n"/>
      <c r="B10" s="9" t="n"/>
      <c r="C10" s="29" t="n"/>
      <c r="D10" s="29" t="n"/>
      <c r="E10" s="14">
        <f>IF(C10="","",'3 Sistema'!$C$6)</f>
        <v/>
      </c>
      <c r="F10" s="27">
        <f>IF(C10="","",C10*E10+N(D10))</f>
        <v/>
      </c>
      <c r="G10" s="27">
        <f>IF(C10="","",C10+N(D10)-F10)</f>
        <v/>
      </c>
      <c r="H10" s="17">
        <f>IF(A10="","",YEAR(A10)*100+MONTH(A10))</f>
        <v/>
      </c>
      <c r="I10" s="9" t="n"/>
      <c r="K10" s="12" t="inlineStr">
        <is>
          <t>Total bruto de ese mes</t>
        </is>
      </c>
      <c r="L10" s="27">
        <f>IF(L9="","",SUMIF(H5:H304,L9,C5:C304))</f>
        <v/>
      </c>
    </row>
    <row r="11">
      <c r="A11" s="28" t="n"/>
      <c r="B11" s="9" t="n"/>
      <c r="C11" s="29" t="n"/>
      <c r="D11" s="29" t="n"/>
      <c r="E11" s="14">
        <f>IF(C11="","",'3 Sistema'!$C$6)</f>
        <v/>
      </c>
      <c r="F11" s="27">
        <f>IF(C11="","",C11*E11+N(D11))</f>
        <v/>
      </c>
      <c r="G11" s="27">
        <f>IF(C11="","",C11+N(D11)-F11)</f>
        <v/>
      </c>
      <c r="H11" s="17">
        <f>IF(A11="","",YEAR(A11)*100+MONTH(A11))</f>
        <v/>
      </c>
      <c r="I11" s="9" t="n"/>
    </row>
    <row r="12">
      <c r="A12" s="28" t="n"/>
      <c r="B12" s="9" t="n"/>
      <c r="C12" s="29" t="n"/>
      <c r="D12" s="29" t="n"/>
      <c r="E12" s="14">
        <f>IF(C12="","",'3 Sistema'!$C$6)</f>
        <v/>
      </c>
      <c r="F12" s="27">
        <f>IF(C12="","",C12*E12+N(D12))</f>
        <v/>
      </c>
      <c r="G12" s="27">
        <f>IF(C12="","",C12+N(D12)-F12)</f>
        <v/>
      </c>
      <c r="H12" s="17">
        <f>IF(A12="","",YEAR(A12)*100+MONTH(A12))</f>
        <v/>
      </c>
      <c r="I12" s="9" t="n"/>
    </row>
    <row r="13">
      <c r="A13" s="28" t="n"/>
      <c r="B13" s="9" t="n"/>
      <c r="C13" s="29" t="n"/>
      <c r="D13" s="29" t="n"/>
      <c r="E13" s="14">
        <f>IF(C13="","",'3 Sistema'!$C$6)</f>
        <v/>
      </c>
      <c r="F13" s="27">
        <f>IF(C13="","",C13*E13+N(D13))</f>
        <v/>
      </c>
      <c r="G13" s="27">
        <f>IF(C13="","",C13+N(D13)-F13)</f>
        <v/>
      </c>
      <c r="H13" s="17">
        <f>IF(A13="","",YEAR(A13)*100+MONTH(A13))</f>
        <v/>
      </c>
      <c r="I13" s="9" t="n"/>
    </row>
    <row r="14">
      <c r="A14" s="28" t="n"/>
      <c r="B14" s="9" t="n"/>
      <c r="C14" s="29" t="n"/>
      <c r="D14" s="29" t="n"/>
      <c r="E14" s="14">
        <f>IF(C14="","",'3 Sistema'!$C$6)</f>
        <v/>
      </c>
      <c r="F14" s="27">
        <f>IF(C14="","",C14*E14+N(D14))</f>
        <v/>
      </c>
      <c r="G14" s="27">
        <f>IF(C14="","",C14+N(D14)-F14)</f>
        <v/>
      </c>
      <c r="H14" s="17">
        <f>IF(A14="","",YEAR(A14)*100+MONTH(A14))</f>
        <v/>
      </c>
      <c r="I14" s="9" t="n"/>
    </row>
    <row r="15">
      <c r="A15" s="28" t="n"/>
      <c r="B15" s="9" t="n"/>
      <c r="C15" s="29" t="n"/>
      <c r="D15" s="29" t="n"/>
      <c r="E15" s="14">
        <f>IF(C15="","",'3 Sistema'!$C$6)</f>
        <v/>
      </c>
      <c r="F15" s="27">
        <f>IF(C15="","",C15*E15+N(D15))</f>
        <v/>
      </c>
      <c r="G15" s="27">
        <f>IF(C15="","",C15+N(D15)-F15)</f>
        <v/>
      </c>
      <c r="H15" s="17">
        <f>IF(A15="","",YEAR(A15)*100+MONTH(A15))</f>
        <v/>
      </c>
      <c r="I15" s="9" t="n"/>
    </row>
    <row r="16">
      <c r="A16" s="28" t="n"/>
      <c r="B16" s="9" t="n"/>
      <c r="C16" s="29" t="n"/>
      <c r="D16" s="29" t="n"/>
      <c r="E16" s="14">
        <f>IF(C16="","",'3 Sistema'!$C$6)</f>
        <v/>
      </c>
      <c r="F16" s="27">
        <f>IF(C16="","",C16*E16+N(D16))</f>
        <v/>
      </c>
      <c r="G16" s="27">
        <f>IF(C16="","",C16+N(D16)-F16)</f>
        <v/>
      </c>
      <c r="H16" s="17">
        <f>IF(A16="","",YEAR(A16)*100+MONTH(A16))</f>
        <v/>
      </c>
      <c r="I16" s="9" t="n"/>
    </row>
    <row r="17">
      <c r="A17" s="28" t="n"/>
      <c r="B17" s="9" t="n"/>
      <c r="C17" s="29" t="n"/>
      <c r="D17" s="29" t="n"/>
      <c r="E17" s="14">
        <f>IF(C17="","",'3 Sistema'!$C$6)</f>
        <v/>
      </c>
      <c r="F17" s="27">
        <f>IF(C17="","",C17*E17+N(D17))</f>
        <v/>
      </c>
      <c r="G17" s="27">
        <f>IF(C17="","",C17+N(D17)-F17)</f>
        <v/>
      </c>
      <c r="H17" s="17">
        <f>IF(A17="","",YEAR(A17)*100+MONTH(A17))</f>
        <v/>
      </c>
      <c r="I17" s="9" t="n"/>
    </row>
    <row r="18">
      <c r="A18" s="28" t="n"/>
      <c r="B18" s="9" t="n"/>
      <c r="C18" s="29" t="n"/>
      <c r="D18" s="29" t="n"/>
      <c r="E18" s="14">
        <f>IF(C18="","",'3 Sistema'!$C$6)</f>
        <v/>
      </c>
      <c r="F18" s="27">
        <f>IF(C18="","",C18*E18+N(D18))</f>
        <v/>
      </c>
      <c r="G18" s="27">
        <f>IF(C18="","",C18+N(D18)-F18)</f>
        <v/>
      </c>
      <c r="H18" s="17">
        <f>IF(A18="","",YEAR(A18)*100+MONTH(A18))</f>
        <v/>
      </c>
      <c r="I18" s="9" t="n"/>
    </row>
    <row r="19">
      <c r="A19" s="28" t="n"/>
      <c r="B19" s="9" t="n"/>
      <c r="C19" s="29" t="n"/>
      <c r="D19" s="29" t="n"/>
      <c r="E19" s="14">
        <f>IF(C19="","",'3 Sistema'!$C$6)</f>
        <v/>
      </c>
      <c r="F19" s="27">
        <f>IF(C19="","",C19*E19+N(D19))</f>
        <v/>
      </c>
      <c r="G19" s="27">
        <f>IF(C19="","",C19+N(D19)-F19)</f>
        <v/>
      </c>
      <c r="H19" s="17">
        <f>IF(A19="","",YEAR(A19)*100+MONTH(A19))</f>
        <v/>
      </c>
      <c r="I19" s="9" t="n"/>
    </row>
    <row r="20">
      <c r="A20" s="28" t="n"/>
      <c r="B20" s="9" t="n"/>
      <c r="C20" s="29" t="n"/>
      <c r="D20" s="29" t="n"/>
      <c r="E20" s="14">
        <f>IF(C20="","",'3 Sistema'!$C$6)</f>
        <v/>
      </c>
      <c r="F20" s="27">
        <f>IF(C20="","",C20*E20+N(D20))</f>
        <v/>
      </c>
      <c r="G20" s="27">
        <f>IF(C20="","",C20+N(D20)-F20)</f>
        <v/>
      </c>
      <c r="H20" s="17">
        <f>IF(A20="","",YEAR(A20)*100+MONTH(A20))</f>
        <v/>
      </c>
      <c r="I20" s="9" t="n"/>
    </row>
    <row r="21">
      <c r="A21" s="28" t="n"/>
      <c r="B21" s="9" t="n"/>
      <c r="C21" s="29" t="n"/>
      <c r="D21" s="29" t="n"/>
      <c r="E21" s="14">
        <f>IF(C21="","",'3 Sistema'!$C$6)</f>
        <v/>
      </c>
      <c r="F21" s="27">
        <f>IF(C21="","",C21*E21+N(D21))</f>
        <v/>
      </c>
      <c r="G21" s="27">
        <f>IF(C21="","",C21+N(D21)-F21)</f>
        <v/>
      </c>
      <c r="H21" s="17">
        <f>IF(A21="","",YEAR(A21)*100+MONTH(A21))</f>
        <v/>
      </c>
      <c r="I21" s="9" t="n"/>
    </row>
    <row r="22">
      <c r="A22" s="28" t="n"/>
      <c r="B22" s="9" t="n"/>
      <c r="C22" s="29" t="n"/>
      <c r="D22" s="29" t="n"/>
      <c r="E22" s="14">
        <f>IF(C22="","",'3 Sistema'!$C$6)</f>
        <v/>
      </c>
      <c r="F22" s="27">
        <f>IF(C22="","",C22*E22+N(D22))</f>
        <v/>
      </c>
      <c r="G22" s="27">
        <f>IF(C22="","",C22+N(D22)-F22)</f>
        <v/>
      </c>
      <c r="H22" s="17">
        <f>IF(A22="","",YEAR(A22)*100+MONTH(A22))</f>
        <v/>
      </c>
      <c r="I22" s="9" t="n"/>
    </row>
    <row r="23">
      <c r="A23" s="28" t="n"/>
      <c r="B23" s="9" t="n"/>
      <c r="C23" s="29" t="n"/>
      <c r="D23" s="29" t="n"/>
      <c r="E23" s="14">
        <f>IF(C23="","",'3 Sistema'!$C$6)</f>
        <v/>
      </c>
      <c r="F23" s="27">
        <f>IF(C23="","",C23*E23+N(D23))</f>
        <v/>
      </c>
      <c r="G23" s="27">
        <f>IF(C23="","",C23+N(D23)-F23)</f>
        <v/>
      </c>
      <c r="H23" s="17">
        <f>IF(A23="","",YEAR(A23)*100+MONTH(A23))</f>
        <v/>
      </c>
      <c r="I23" s="9" t="n"/>
    </row>
    <row r="24">
      <c r="A24" s="28" t="n"/>
      <c r="B24" s="9" t="n"/>
      <c r="C24" s="29" t="n"/>
      <c r="D24" s="29" t="n"/>
      <c r="E24" s="14">
        <f>IF(C24="","",'3 Sistema'!$C$6)</f>
        <v/>
      </c>
      <c r="F24" s="27">
        <f>IF(C24="","",C24*E24+N(D24))</f>
        <v/>
      </c>
      <c r="G24" s="27">
        <f>IF(C24="","",C24+N(D24)-F24)</f>
        <v/>
      </c>
      <c r="H24" s="17">
        <f>IF(A24="","",YEAR(A24)*100+MONTH(A24))</f>
        <v/>
      </c>
      <c r="I24" s="9" t="n"/>
    </row>
    <row r="25">
      <c r="A25" s="28" t="n"/>
      <c r="B25" s="9" t="n"/>
      <c r="C25" s="29" t="n"/>
      <c r="D25" s="29" t="n"/>
      <c r="E25" s="14">
        <f>IF(C25="","",'3 Sistema'!$C$6)</f>
        <v/>
      </c>
      <c r="F25" s="27">
        <f>IF(C25="","",C25*E25+N(D25))</f>
        <v/>
      </c>
      <c r="G25" s="27">
        <f>IF(C25="","",C25+N(D25)-F25)</f>
        <v/>
      </c>
      <c r="H25" s="17">
        <f>IF(A25="","",YEAR(A25)*100+MONTH(A25))</f>
        <v/>
      </c>
      <c r="I25" s="9" t="n"/>
    </row>
    <row r="26">
      <c r="A26" s="28" t="n"/>
      <c r="B26" s="9" t="n"/>
      <c r="C26" s="29" t="n"/>
      <c r="D26" s="29" t="n"/>
      <c r="E26" s="14">
        <f>IF(C26="","",'3 Sistema'!$C$6)</f>
        <v/>
      </c>
      <c r="F26" s="27">
        <f>IF(C26="","",C26*E26+N(D26))</f>
        <v/>
      </c>
      <c r="G26" s="27">
        <f>IF(C26="","",C26+N(D26)-F26)</f>
        <v/>
      </c>
      <c r="H26" s="17">
        <f>IF(A26="","",YEAR(A26)*100+MONTH(A26))</f>
        <v/>
      </c>
      <c r="I26" s="9" t="n"/>
    </row>
    <row r="27">
      <c r="A27" s="28" t="n"/>
      <c r="B27" s="9" t="n"/>
      <c r="C27" s="29" t="n"/>
      <c r="D27" s="29" t="n"/>
      <c r="E27" s="14">
        <f>IF(C27="","",'3 Sistema'!$C$6)</f>
        <v/>
      </c>
      <c r="F27" s="27">
        <f>IF(C27="","",C27*E27+N(D27))</f>
        <v/>
      </c>
      <c r="G27" s="27">
        <f>IF(C27="","",C27+N(D27)-F27)</f>
        <v/>
      </c>
      <c r="H27" s="17">
        <f>IF(A27="","",YEAR(A27)*100+MONTH(A27))</f>
        <v/>
      </c>
      <c r="I27" s="9" t="n"/>
    </row>
    <row r="28">
      <c r="A28" s="28" t="n"/>
      <c r="B28" s="9" t="n"/>
      <c r="C28" s="29" t="n"/>
      <c r="D28" s="29" t="n"/>
      <c r="E28" s="14">
        <f>IF(C28="","",'3 Sistema'!$C$6)</f>
        <v/>
      </c>
      <c r="F28" s="27">
        <f>IF(C28="","",C28*E28+N(D28))</f>
        <v/>
      </c>
      <c r="G28" s="27">
        <f>IF(C28="","",C28+N(D28)-F28)</f>
        <v/>
      </c>
      <c r="H28" s="17">
        <f>IF(A28="","",YEAR(A28)*100+MONTH(A28))</f>
        <v/>
      </c>
      <c r="I28" s="9" t="n"/>
    </row>
    <row r="29">
      <c r="A29" s="28" t="n"/>
      <c r="B29" s="9" t="n"/>
      <c r="C29" s="29" t="n"/>
      <c r="D29" s="29" t="n"/>
      <c r="E29" s="14">
        <f>IF(C29="","",'3 Sistema'!$C$6)</f>
        <v/>
      </c>
      <c r="F29" s="27">
        <f>IF(C29="","",C29*E29+N(D29))</f>
        <v/>
      </c>
      <c r="G29" s="27">
        <f>IF(C29="","",C29+N(D29)-F29)</f>
        <v/>
      </c>
      <c r="H29" s="17">
        <f>IF(A29="","",YEAR(A29)*100+MONTH(A29))</f>
        <v/>
      </c>
      <c r="I29" s="9" t="n"/>
    </row>
    <row r="30">
      <c r="A30" s="28" t="n"/>
      <c r="B30" s="9" t="n"/>
      <c r="C30" s="29" t="n"/>
      <c r="D30" s="29" t="n"/>
      <c r="E30" s="14">
        <f>IF(C30="","",'3 Sistema'!$C$6)</f>
        <v/>
      </c>
      <c r="F30" s="27">
        <f>IF(C30="","",C30*E30+N(D30))</f>
        <v/>
      </c>
      <c r="G30" s="27">
        <f>IF(C30="","",C30+N(D30)-F30)</f>
        <v/>
      </c>
      <c r="H30" s="17">
        <f>IF(A30="","",YEAR(A30)*100+MONTH(A30))</f>
        <v/>
      </c>
      <c r="I30" s="9" t="n"/>
    </row>
    <row r="31">
      <c r="A31" s="28" t="n"/>
      <c r="B31" s="9" t="n"/>
      <c r="C31" s="29" t="n"/>
      <c r="D31" s="29" t="n"/>
      <c r="E31" s="14">
        <f>IF(C31="","",'3 Sistema'!$C$6)</f>
        <v/>
      </c>
      <c r="F31" s="27">
        <f>IF(C31="","",C31*E31+N(D31))</f>
        <v/>
      </c>
      <c r="G31" s="27">
        <f>IF(C31="","",C31+N(D31)-F31)</f>
        <v/>
      </c>
      <c r="H31" s="17">
        <f>IF(A31="","",YEAR(A31)*100+MONTH(A31))</f>
        <v/>
      </c>
      <c r="I31" s="9" t="n"/>
    </row>
    <row r="32">
      <c r="A32" s="28" t="n"/>
      <c r="B32" s="9" t="n"/>
      <c r="C32" s="29" t="n"/>
      <c r="D32" s="29" t="n"/>
      <c r="E32" s="14">
        <f>IF(C32="","",'3 Sistema'!$C$6)</f>
        <v/>
      </c>
      <c r="F32" s="27">
        <f>IF(C32="","",C32*E32+N(D32))</f>
        <v/>
      </c>
      <c r="G32" s="27">
        <f>IF(C32="","",C32+N(D32)-F32)</f>
        <v/>
      </c>
      <c r="H32" s="17">
        <f>IF(A32="","",YEAR(A32)*100+MONTH(A32))</f>
        <v/>
      </c>
      <c r="I32" s="9" t="n"/>
    </row>
    <row r="33">
      <c r="A33" s="28" t="n"/>
      <c r="B33" s="9" t="n"/>
      <c r="C33" s="29" t="n"/>
      <c r="D33" s="29" t="n"/>
      <c r="E33" s="14">
        <f>IF(C33="","",'3 Sistema'!$C$6)</f>
        <v/>
      </c>
      <c r="F33" s="27">
        <f>IF(C33="","",C33*E33+N(D33))</f>
        <v/>
      </c>
      <c r="G33" s="27">
        <f>IF(C33="","",C33+N(D33)-F33)</f>
        <v/>
      </c>
      <c r="H33" s="17">
        <f>IF(A33="","",YEAR(A33)*100+MONTH(A33))</f>
        <v/>
      </c>
      <c r="I33" s="9" t="n"/>
    </row>
    <row r="34">
      <c r="A34" s="28" t="n"/>
      <c r="B34" s="9" t="n"/>
      <c r="C34" s="29" t="n"/>
      <c r="D34" s="29" t="n"/>
      <c r="E34" s="14">
        <f>IF(C34="","",'3 Sistema'!$C$6)</f>
        <v/>
      </c>
      <c r="F34" s="27">
        <f>IF(C34="","",C34*E34+N(D34))</f>
        <v/>
      </c>
      <c r="G34" s="27">
        <f>IF(C34="","",C34+N(D34)-F34)</f>
        <v/>
      </c>
      <c r="H34" s="17">
        <f>IF(A34="","",YEAR(A34)*100+MONTH(A34))</f>
        <v/>
      </c>
      <c r="I34" s="9" t="n"/>
    </row>
    <row r="35">
      <c r="A35" s="28" t="n"/>
      <c r="B35" s="9" t="n"/>
      <c r="C35" s="29" t="n"/>
      <c r="D35" s="29" t="n"/>
      <c r="E35" s="14">
        <f>IF(C35="","",'3 Sistema'!$C$6)</f>
        <v/>
      </c>
      <c r="F35" s="27">
        <f>IF(C35="","",C35*E35+N(D35))</f>
        <v/>
      </c>
      <c r="G35" s="27">
        <f>IF(C35="","",C35+N(D35)-F35)</f>
        <v/>
      </c>
      <c r="H35" s="17">
        <f>IF(A35="","",YEAR(A35)*100+MONTH(A35))</f>
        <v/>
      </c>
      <c r="I35" s="9" t="n"/>
    </row>
    <row r="36">
      <c r="A36" s="28" t="n"/>
      <c r="B36" s="9" t="n"/>
      <c r="C36" s="29" t="n"/>
      <c r="D36" s="29" t="n"/>
      <c r="E36" s="14">
        <f>IF(C36="","",'3 Sistema'!$C$6)</f>
        <v/>
      </c>
      <c r="F36" s="27">
        <f>IF(C36="","",C36*E36+N(D36))</f>
        <v/>
      </c>
      <c r="G36" s="27">
        <f>IF(C36="","",C36+N(D36)-F36)</f>
        <v/>
      </c>
      <c r="H36" s="17">
        <f>IF(A36="","",YEAR(A36)*100+MONTH(A36))</f>
        <v/>
      </c>
      <c r="I36" s="9" t="n"/>
    </row>
    <row r="37">
      <c r="A37" s="28" t="n"/>
      <c r="B37" s="9" t="n"/>
      <c r="C37" s="29" t="n"/>
      <c r="D37" s="29" t="n"/>
      <c r="E37" s="14">
        <f>IF(C37="","",'3 Sistema'!$C$6)</f>
        <v/>
      </c>
      <c r="F37" s="27">
        <f>IF(C37="","",C37*E37+N(D37))</f>
        <v/>
      </c>
      <c r="G37" s="27">
        <f>IF(C37="","",C37+N(D37)-F37)</f>
        <v/>
      </c>
      <c r="H37" s="17">
        <f>IF(A37="","",YEAR(A37)*100+MONTH(A37))</f>
        <v/>
      </c>
      <c r="I37" s="9" t="n"/>
    </row>
    <row r="38">
      <c r="A38" s="28" t="n"/>
      <c r="B38" s="9" t="n"/>
      <c r="C38" s="29" t="n"/>
      <c r="D38" s="29" t="n"/>
      <c r="E38" s="14">
        <f>IF(C38="","",'3 Sistema'!$C$6)</f>
        <v/>
      </c>
      <c r="F38" s="27">
        <f>IF(C38="","",C38*E38+N(D38))</f>
        <v/>
      </c>
      <c r="G38" s="27">
        <f>IF(C38="","",C38+N(D38)-F38)</f>
        <v/>
      </c>
      <c r="H38" s="17">
        <f>IF(A38="","",YEAR(A38)*100+MONTH(A38))</f>
        <v/>
      </c>
      <c r="I38" s="9" t="n"/>
    </row>
    <row r="39">
      <c r="A39" s="28" t="n"/>
      <c r="B39" s="9" t="n"/>
      <c r="C39" s="29" t="n"/>
      <c r="D39" s="29" t="n"/>
      <c r="E39" s="14">
        <f>IF(C39="","",'3 Sistema'!$C$6)</f>
        <v/>
      </c>
      <c r="F39" s="27">
        <f>IF(C39="","",C39*E39+N(D39))</f>
        <v/>
      </c>
      <c r="G39" s="27">
        <f>IF(C39="","",C39+N(D39)-F39)</f>
        <v/>
      </c>
      <c r="H39" s="17">
        <f>IF(A39="","",YEAR(A39)*100+MONTH(A39))</f>
        <v/>
      </c>
      <c r="I39" s="9" t="n"/>
    </row>
    <row r="40">
      <c r="A40" s="28" t="n"/>
      <c r="B40" s="9" t="n"/>
      <c r="C40" s="29" t="n"/>
      <c r="D40" s="29" t="n"/>
      <c r="E40" s="14">
        <f>IF(C40="","",'3 Sistema'!$C$6)</f>
        <v/>
      </c>
      <c r="F40" s="27">
        <f>IF(C40="","",C40*E40+N(D40))</f>
        <v/>
      </c>
      <c r="G40" s="27">
        <f>IF(C40="","",C40+N(D40)-F40)</f>
        <v/>
      </c>
      <c r="H40" s="17">
        <f>IF(A40="","",YEAR(A40)*100+MONTH(A40))</f>
        <v/>
      </c>
      <c r="I40" s="9" t="n"/>
    </row>
    <row r="41">
      <c r="A41" s="28" t="n"/>
      <c r="B41" s="9" t="n"/>
      <c r="C41" s="29" t="n"/>
      <c r="D41" s="29" t="n"/>
      <c r="E41" s="14">
        <f>IF(C41="","",'3 Sistema'!$C$6)</f>
        <v/>
      </c>
      <c r="F41" s="27">
        <f>IF(C41="","",C41*E41+N(D41))</f>
        <v/>
      </c>
      <c r="G41" s="27">
        <f>IF(C41="","",C41+N(D41)-F41)</f>
        <v/>
      </c>
      <c r="H41" s="17">
        <f>IF(A41="","",YEAR(A41)*100+MONTH(A41))</f>
        <v/>
      </c>
      <c r="I41" s="9" t="n"/>
    </row>
    <row r="42">
      <c r="A42" s="28" t="n"/>
      <c r="B42" s="9" t="n"/>
      <c r="C42" s="29" t="n"/>
      <c r="D42" s="29" t="n"/>
      <c r="E42" s="14">
        <f>IF(C42="","",'3 Sistema'!$C$6)</f>
        <v/>
      </c>
      <c r="F42" s="27">
        <f>IF(C42="","",C42*E42+N(D42))</f>
        <v/>
      </c>
      <c r="G42" s="27">
        <f>IF(C42="","",C42+N(D42)-F42)</f>
        <v/>
      </c>
      <c r="H42" s="17">
        <f>IF(A42="","",YEAR(A42)*100+MONTH(A42))</f>
        <v/>
      </c>
      <c r="I42" s="9" t="n"/>
    </row>
    <row r="43">
      <c r="A43" s="28" t="n"/>
      <c r="B43" s="9" t="n"/>
      <c r="C43" s="29" t="n"/>
      <c r="D43" s="29" t="n"/>
      <c r="E43" s="14">
        <f>IF(C43="","",'3 Sistema'!$C$6)</f>
        <v/>
      </c>
      <c r="F43" s="27">
        <f>IF(C43="","",C43*E43+N(D43))</f>
        <v/>
      </c>
      <c r="G43" s="27">
        <f>IF(C43="","",C43+N(D43)-F43)</f>
        <v/>
      </c>
      <c r="H43" s="17">
        <f>IF(A43="","",YEAR(A43)*100+MONTH(A43))</f>
        <v/>
      </c>
      <c r="I43" s="9" t="n"/>
    </row>
    <row r="44">
      <c r="A44" s="28" t="n"/>
      <c r="B44" s="9" t="n"/>
      <c r="C44" s="29" t="n"/>
      <c r="D44" s="29" t="n"/>
      <c r="E44" s="14">
        <f>IF(C44="","",'3 Sistema'!$C$6)</f>
        <v/>
      </c>
      <c r="F44" s="27">
        <f>IF(C44="","",C44*E44+N(D44))</f>
        <v/>
      </c>
      <c r="G44" s="27">
        <f>IF(C44="","",C44+N(D44)-F44)</f>
        <v/>
      </c>
      <c r="H44" s="17">
        <f>IF(A44="","",YEAR(A44)*100+MONTH(A44))</f>
        <v/>
      </c>
      <c r="I44" s="9" t="n"/>
    </row>
    <row r="45">
      <c r="A45" s="28" t="n"/>
      <c r="B45" s="9" t="n"/>
      <c r="C45" s="29" t="n"/>
      <c r="D45" s="29" t="n"/>
      <c r="E45" s="14">
        <f>IF(C45="","",'3 Sistema'!$C$6)</f>
        <v/>
      </c>
      <c r="F45" s="27">
        <f>IF(C45="","",C45*E45+N(D45))</f>
        <v/>
      </c>
      <c r="G45" s="27">
        <f>IF(C45="","",C45+N(D45)-F45)</f>
        <v/>
      </c>
      <c r="H45" s="17">
        <f>IF(A45="","",YEAR(A45)*100+MONTH(A45))</f>
        <v/>
      </c>
      <c r="I45" s="9" t="n"/>
    </row>
    <row r="46">
      <c r="A46" s="28" t="n"/>
      <c r="B46" s="9" t="n"/>
      <c r="C46" s="29" t="n"/>
      <c r="D46" s="29" t="n"/>
      <c r="E46" s="14">
        <f>IF(C46="","",'3 Sistema'!$C$6)</f>
        <v/>
      </c>
      <c r="F46" s="27">
        <f>IF(C46="","",C46*E46+N(D46))</f>
        <v/>
      </c>
      <c r="G46" s="27">
        <f>IF(C46="","",C46+N(D46)-F46)</f>
        <v/>
      </c>
      <c r="H46" s="17">
        <f>IF(A46="","",YEAR(A46)*100+MONTH(A46))</f>
        <v/>
      </c>
      <c r="I46" s="9" t="n"/>
    </row>
    <row r="47">
      <c r="A47" s="28" t="n"/>
      <c r="B47" s="9" t="n"/>
      <c r="C47" s="29" t="n"/>
      <c r="D47" s="29" t="n"/>
      <c r="E47" s="14">
        <f>IF(C47="","",'3 Sistema'!$C$6)</f>
        <v/>
      </c>
      <c r="F47" s="27">
        <f>IF(C47="","",C47*E47+N(D47))</f>
        <v/>
      </c>
      <c r="G47" s="27">
        <f>IF(C47="","",C47+N(D47)-F47)</f>
        <v/>
      </c>
      <c r="H47" s="17">
        <f>IF(A47="","",YEAR(A47)*100+MONTH(A47))</f>
        <v/>
      </c>
      <c r="I47" s="9" t="n"/>
    </row>
    <row r="48">
      <c r="A48" s="28" t="n"/>
      <c r="B48" s="9" t="n"/>
      <c r="C48" s="29" t="n"/>
      <c r="D48" s="29" t="n"/>
      <c r="E48" s="14">
        <f>IF(C48="","",'3 Sistema'!$C$6)</f>
        <v/>
      </c>
      <c r="F48" s="27">
        <f>IF(C48="","",C48*E48+N(D48))</f>
        <v/>
      </c>
      <c r="G48" s="27">
        <f>IF(C48="","",C48+N(D48)-F48)</f>
        <v/>
      </c>
      <c r="H48" s="17">
        <f>IF(A48="","",YEAR(A48)*100+MONTH(A48))</f>
        <v/>
      </c>
      <c r="I48" s="9" t="n"/>
    </row>
    <row r="49">
      <c r="A49" s="28" t="n"/>
      <c r="B49" s="9" t="n"/>
      <c r="C49" s="29" t="n"/>
      <c r="D49" s="29" t="n"/>
      <c r="E49" s="14">
        <f>IF(C49="","",'3 Sistema'!$C$6)</f>
        <v/>
      </c>
      <c r="F49" s="27">
        <f>IF(C49="","",C49*E49+N(D49))</f>
        <v/>
      </c>
      <c r="G49" s="27">
        <f>IF(C49="","",C49+N(D49)-F49)</f>
        <v/>
      </c>
      <c r="H49" s="17">
        <f>IF(A49="","",YEAR(A49)*100+MONTH(A49))</f>
        <v/>
      </c>
      <c r="I49" s="9" t="n"/>
    </row>
    <row r="50">
      <c r="A50" s="28" t="n"/>
      <c r="B50" s="9" t="n"/>
      <c r="C50" s="29" t="n"/>
      <c r="D50" s="29" t="n"/>
      <c r="E50" s="14">
        <f>IF(C50="","",'3 Sistema'!$C$6)</f>
        <v/>
      </c>
      <c r="F50" s="27">
        <f>IF(C50="","",C50*E50+N(D50))</f>
        <v/>
      </c>
      <c r="G50" s="27">
        <f>IF(C50="","",C50+N(D50)-F50)</f>
        <v/>
      </c>
      <c r="H50" s="17">
        <f>IF(A50="","",YEAR(A50)*100+MONTH(A50))</f>
        <v/>
      </c>
      <c r="I50" s="9" t="n"/>
    </row>
    <row r="51">
      <c r="A51" s="28" t="n"/>
      <c r="B51" s="9" t="n"/>
      <c r="C51" s="29" t="n"/>
      <c r="D51" s="29" t="n"/>
      <c r="E51" s="14">
        <f>IF(C51="","",'3 Sistema'!$C$6)</f>
        <v/>
      </c>
      <c r="F51" s="27">
        <f>IF(C51="","",C51*E51+N(D51))</f>
        <v/>
      </c>
      <c r="G51" s="27">
        <f>IF(C51="","",C51+N(D51)-F51)</f>
        <v/>
      </c>
      <c r="H51" s="17">
        <f>IF(A51="","",YEAR(A51)*100+MONTH(A51))</f>
        <v/>
      </c>
      <c r="I51" s="9" t="n"/>
    </row>
    <row r="52">
      <c r="A52" s="28" t="n"/>
      <c r="B52" s="9" t="n"/>
      <c r="C52" s="29" t="n"/>
      <c r="D52" s="29" t="n"/>
      <c r="E52" s="14">
        <f>IF(C52="","",'3 Sistema'!$C$6)</f>
        <v/>
      </c>
      <c r="F52" s="27">
        <f>IF(C52="","",C52*E52+N(D52))</f>
        <v/>
      </c>
      <c r="G52" s="27">
        <f>IF(C52="","",C52+N(D52)-F52)</f>
        <v/>
      </c>
      <c r="H52" s="17">
        <f>IF(A52="","",YEAR(A52)*100+MONTH(A52))</f>
        <v/>
      </c>
      <c r="I52" s="9" t="n"/>
    </row>
    <row r="53">
      <c r="A53" s="28" t="n"/>
      <c r="B53" s="9" t="n"/>
      <c r="C53" s="29" t="n"/>
      <c r="D53" s="29" t="n"/>
      <c r="E53" s="14">
        <f>IF(C53="","",'3 Sistema'!$C$6)</f>
        <v/>
      </c>
      <c r="F53" s="27">
        <f>IF(C53="","",C53*E53+N(D53))</f>
        <v/>
      </c>
      <c r="G53" s="27">
        <f>IF(C53="","",C53+N(D53)-F53)</f>
        <v/>
      </c>
      <c r="H53" s="17">
        <f>IF(A53="","",YEAR(A53)*100+MONTH(A53))</f>
        <v/>
      </c>
      <c r="I53" s="9" t="n"/>
    </row>
    <row r="54">
      <c r="A54" s="28" t="n"/>
      <c r="B54" s="9" t="n"/>
      <c r="C54" s="29" t="n"/>
      <c r="D54" s="29" t="n"/>
      <c r="E54" s="14">
        <f>IF(C54="","",'3 Sistema'!$C$6)</f>
        <v/>
      </c>
      <c r="F54" s="27">
        <f>IF(C54="","",C54*E54+N(D54))</f>
        <v/>
      </c>
      <c r="G54" s="27">
        <f>IF(C54="","",C54+N(D54)-F54)</f>
        <v/>
      </c>
      <c r="H54" s="17">
        <f>IF(A54="","",YEAR(A54)*100+MONTH(A54))</f>
        <v/>
      </c>
      <c r="I54" s="9" t="n"/>
    </row>
    <row r="55">
      <c r="A55" s="28" t="n"/>
      <c r="B55" s="9" t="n"/>
      <c r="C55" s="29" t="n"/>
      <c r="D55" s="29" t="n"/>
      <c r="E55" s="14">
        <f>IF(C55="","",'3 Sistema'!$C$6)</f>
        <v/>
      </c>
      <c r="F55" s="27">
        <f>IF(C55="","",C55*E55+N(D55))</f>
        <v/>
      </c>
      <c r="G55" s="27">
        <f>IF(C55="","",C55+N(D55)-F55)</f>
        <v/>
      </c>
      <c r="H55" s="17">
        <f>IF(A55="","",YEAR(A55)*100+MONTH(A55))</f>
        <v/>
      </c>
      <c r="I55" s="9" t="n"/>
    </row>
    <row r="56">
      <c r="A56" s="28" t="n"/>
      <c r="B56" s="9" t="n"/>
      <c r="C56" s="29" t="n"/>
      <c r="D56" s="29" t="n"/>
      <c r="E56" s="14">
        <f>IF(C56="","",'3 Sistema'!$C$6)</f>
        <v/>
      </c>
      <c r="F56" s="27">
        <f>IF(C56="","",C56*E56+N(D56))</f>
        <v/>
      </c>
      <c r="G56" s="27">
        <f>IF(C56="","",C56+N(D56)-F56)</f>
        <v/>
      </c>
      <c r="H56" s="17">
        <f>IF(A56="","",YEAR(A56)*100+MONTH(A56))</f>
        <v/>
      </c>
      <c r="I56" s="9" t="n"/>
    </row>
    <row r="57">
      <c r="A57" s="28" t="n"/>
      <c r="B57" s="9" t="n"/>
      <c r="C57" s="29" t="n"/>
      <c r="D57" s="29" t="n"/>
      <c r="E57" s="14">
        <f>IF(C57="","",'3 Sistema'!$C$6)</f>
        <v/>
      </c>
      <c r="F57" s="27">
        <f>IF(C57="","",C57*E57+N(D57))</f>
        <v/>
      </c>
      <c r="G57" s="27">
        <f>IF(C57="","",C57+N(D57)-F57)</f>
        <v/>
      </c>
      <c r="H57" s="17">
        <f>IF(A57="","",YEAR(A57)*100+MONTH(A57))</f>
        <v/>
      </c>
      <c r="I57" s="9" t="n"/>
    </row>
    <row r="58">
      <c r="A58" s="28" t="n"/>
      <c r="B58" s="9" t="n"/>
      <c r="C58" s="29" t="n"/>
      <c r="D58" s="29" t="n"/>
      <c r="E58" s="14">
        <f>IF(C58="","",'3 Sistema'!$C$6)</f>
        <v/>
      </c>
      <c r="F58" s="27">
        <f>IF(C58="","",C58*E58+N(D58))</f>
        <v/>
      </c>
      <c r="G58" s="27">
        <f>IF(C58="","",C58+N(D58)-F58)</f>
        <v/>
      </c>
      <c r="H58" s="17">
        <f>IF(A58="","",YEAR(A58)*100+MONTH(A58))</f>
        <v/>
      </c>
      <c r="I58" s="9" t="n"/>
    </row>
    <row r="59">
      <c r="A59" s="28" t="n"/>
      <c r="B59" s="9" t="n"/>
      <c r="C59" s="29" t="n"/>
      <c r="D59" s="29" t="n"/>
      <c r="E59" s="14">
        <f>IF(C59="","",'3 Sistema'!$C$6)</f>
        <v/>
      </c>
      <c r="F59" s="27">
        <f>IF(C59="","",C59*E59+N(D59))</f>
        <v/>
      </c>
      <c r="G59" s="27">
        <f>IF(C59="","",C59+N(D59)-F59)</f>
        <v/>
      </c>
      <c r="H59" s="17">
        <f>IF(A59="","",YEAR(A59)*100+MONTH(A59))</f>
        <v/>
      </c>
      <c r="I59" s="9" t="n"/>
    </row>
    <row r="60">
      <c r="A60" s="28" t="n"/>
      <c r="B60" s="9" t="n"/>
      <c r="C60" s="29" t="n"/>
      <c r="D60" s="29" t="n"/>
      <c r="E60" s="14">
        <f>IF(C60="","",'3 Sistema'!$C$6)</f>
        <v/>
      </c>
      <c r="F60" s="27">
        <f>IF(C60="","",C60*E60+N(D60))</f>
        <v/>
      </c>
      <c r="G60" s="27">
        <f>IF(C60="","",C60+N(D60)-F60)</f>
        <v/>
      </c>
      <c r="H60" s="17">
        <f>IF(A60="","",YEAR(A60)*100+MONTH(A60))</f>
        <v/>
      </c>
      <c r="I60" s="9" t="n"/>
    </row>
    <row r="61">
      <c r="A61" s="28" t="n"/>
      <c r="B61" s="9" t="n"/>
      <c r="C61" s="29" t="n"/>
      <c r="D61" s="29" t="n"/>
      <c r="E61" s="14">
        <f>IF(C61="","",'3 Sistema'!$C$6)</f>
        <v/>
      </c>
      <c r="F61" s="27">
        <f>IF(C61="","",C61*E61+N(D61))</f>
        <v/>
      </c>
      <c r="G61" s="27">
        <f>IF(C61="","",C61+N(D61)-F61)</f>
        <v/>
      </c>
      <c r="H61" s="17">
        <f>IF(A61="","",YEAR(A61)*100+MONTH(A61))</f>
        <v/>
      </c>
      <c r="I61" s="9" t="n"/>
    </row>
    <row r="62">
      <c r="A62" s="28" t="n"/>
      <c r="B62" s="9" t="n"/>
      <c r="C62" s="29" t="n"/>
      <c r="D62" s="29" t="n"/>
      <c r="E62" s="14">
        <f>IF(C62="","",'3 Sistema'!$C$6)</f>
        <v/>
      </c>
      <c r="F62" s="27">
        <f>IF(C62="","",C62*E62+N(D62))</f>
        <v/>
      </c>
      <c r="G62" s="27">
        <f>IF(C62="","",C62+N(D62)-F62)</f>
        <v/>
      </c>
      <c r="H62" s="17">
        <f>IF(A62="","",YEAR(A62)*100+MONTH(A62))</f>
        <v/>
      </c>
      <c r="I62" s="9" t="n"/>
    </row>
    <row r="63">
      <c r="A63" s="28" t="n"/>
      <c r="B63" s="9" t="n"/>
      <c r="C63" s="29" t="n"/>
      <c r="D63" s="29" t="n"/>
      <c r="E63" s="14">
        <f>IF(C63="","",'3 Sistema'!$C$6)</f>
        <v/>
      </c>
      <c r="F63" s="27">
        <f>IF(C63="","",C63*E63+N(D63))</f>
        <v/>
      </c>
      <c r="G63" s="27">
        <f>IF(C63="","",C63+N(D63)-F63)</f>
        <v/>
      </c>
      <c r="H63" s="17">
        <f>IF(A63="","",YEAR(A63)*100+MONTH(A63))</f>
        <v/>
      </c>
      <c r="I63" s="9" t="n"/>
    </row>
    <row r="64">
      <c r="A64" s="28" t="n"/>
      <c r="B64" s="9" t="n"/>
      <c r="C64" s="29" t="n"/>
      <c r="D64" s="29" t="n"/>
      <c r="E64" s="14">
        <f>IF(C64="","",'3 Sistema'!$C$6)</f>
        <v/>
      </c>
      <c r="F64" s="27">
        <f>IF(C64="","",C64*E64+N(D64))</f>
        <v/>
      </c>
      <c r="G64" s="27">
        <f>IF(C64="","",C64+N(D64)-F64)</f>
        <v/>
      </c>
      <c r="H64" s="17">
        <f>IF(A64="","",YEAR(A64)*100+MONTH(A64))</f>
        <v/>
      </c>
      <c r="I64" s="9" t="n"/>
    </row>
    <row r="65">
      <c r="A65" s="28" t="n"/>
      <c r="B65" s="9" t="n"/>
      <c r="C65" s="29" t="n"/>
      <c r="D65" s="29" t="n"/>
      <c r="E65" s="14">
        <f>IF(C65="","",'3 Sistema'!$C$6)</f>
        <v/>
      </c>
      <c r="F65" s="27">
        <f>IF(C65="","",C65*E65+N(D65))</f>
        <v/>
      </c>
      <c r="G65" s="27">
        <f>IF(C65="","",C65+N(D65)-F65)</f>
        <v/>
      </c>
      <c r="H65" s="17">
        <f>IF(A65="","",YEAR(A65)*100+MONTH(A65))</f>
        <v/>
      </c>
      <c r="I65" s="9" t="n"/>
    </row>
    <row r="66">
      <c r="A66" s="28" t="n"/>
      <c r="B66" s="9" t="n"/>
      <c r="C66" s="29" t="n"/>
      <c r="D66" s="29" t="n"/>
      <c r="E66" s="14">
        <f>IF(C66="","",'3 Sistema'!$C$6)</f>
        <v/>
      </c>
      <c r="F66" s="27">
        <f>IF(C66="","",C66*E66+N(D66))</f>
        <v/>
      </c>
      <c r="G66" s="27">
        <f>IF(C66="","",C66+N(D66)-F66)</f>
        <v/>
      </c>
      <c r="H66" s="17">
        <f>IF(A66="","",YEAR(A66)*100+MONTH(A66))</f>
        <v/>
      </c>
      <c r="I66" s="9" t="n"/>
    </row>
    <row r="67">
      <c r="A67" s="28" t="n"/>
      <c r="B67" s="9" t="n"/>
      <c r="C67" s="29" t="n"/>
      <c r="D67" s="29" t="n"/>
      <c r="E67" s="14">
        <f>IF(C67="","",'3 Sistema'!$C$6)</f>
        <v/>
      </c>
      <c r="F67" s="27">
        <f>IF(C67="","",C67*E67+N(D67))</f>
        <v/>
      </c>
      <c r="G67" s="27">
        <f>IF(C67="","",C67+N(D67)-F67)</f>
        <v/>
      </c>
      <c r="H67" s="17">
        <f>IF(A67="","",YEAR(A67)*100+MONTH(A67))</f>
        <v/>
      </c>
      <c r="I67" s="9" t="n"/>
    </row>
    <row r="68">
      <c r="A68" s="28" t="n"/>
      <c r="B68" s="9" t="n"/>
      <c r="C68" s="29" t="n"/>
      <c r="D68" s="29" t="n"/>
      <c r="E68" s="14">
        <f>IF(C68="","",'3 Sistema'!$C$6)</f>
        <v/>
      </c>
      <c r="F68" s="27">
        <f>IF(C68="","",C68*E68+N(D68))</f>
        <v/>
      </c>
      <c r="G68" s="27">
        <f>IF(C68="","",C68+N(D68)-F68)</f>
        <v/>
      </c>
      <c r="H68" s="17">
        <f>IF(A68="","",YEAR(A68)*100+MONTH(A68))</f>
        <v/>
      </c>
      <c r="I68" s="9" t="n"/>
    </row>
    <row r="69">
      <c r="A69" s="28" t="n"/>
      <c r="B69" s="9" t="n"/>
      <c r="C69" s="29" t="n"/>
      <c r="D69" s="29" t="n"/>
      <c r="E69" s="14">
        <f>IF(C69="","",'3 Sistema'!$C$6)</f>
        <v/>
      </c>
      <c r="F69" s="27">
        <f>IF(C69="","",C69*E69+N(D69))</f>
        <v/>
      </c>
      <c r="G69" s="27">
        <f>IF(C69="","",C69+N(D69)-F69)</f>
        <v/>
      </c>
      <c r="H69" s="17">
        <f>IF(A69="","",YEAR(A69)*100+MONTH(A69))</f>
        <v/>
      </c>
      <c r="I69" s="9" t="n"/>
    </row>
    <row r="70">
      <c r="A70" s="28" t="n"/>
      <c r="B70" s="9" t="n"/>
      <c r="C70" s="29" t="n"/>
      <c r="D70" s="29" t="n"/>
      <c r="E70" s="14">
        <f>IF(C70="","",'3 Sistema'!$C$6)</f>
        <v/>
      </c>
      <c r="F70" s="27">
        <f>IF(C70="","",C70*E70+N(D70))</f>
        <v/>
      </c>
      <c r="G70" s="27">
        <f>IF(C70="","",C70+N(D70)-F70)</f>
        <v/>
      </c>
      <c r="H70" s="17">
        <f>IF(A70="","",YEAR(A70)*100+MONTH(A70))</f>
        <v/>
      </c>
      <c r="I70" s="9" t="n"/>
    </row>
    <row r="71">
      <c r="A71" s="28" t="n"/>
      <c r="B71" s="9" t="n"/>
      <c r="C71" s="29" t="n"/>
      <c r="D71" s="29" t="n"/>
      <c r="E71" s="14">
        <f>IF(C71="","",'3 Sistema'!$C$6)</f>
        <v/>
      </c>
      <c r="F71" s="27">
        <f>IF(C71="","",C71*E71+N(D71))</f>
        <v/>
      </c>
      <c r="G71" s="27">
        <f>IF(C71="","",C71+N(D71)-F71)</f>
        <v/>
      </c>
      <c r="H71" s="17">
        <f>IF(A71="","",YEAR(A71)*100+MONTH(A71))</f>
        <v/>
      </c>
      <c r="I71" s="9" t="n"/>
    </row>
    <row r="72">
      <c r="A72" s="28" t="n"/>
      <c r="B72" s="9" t="n"/>
      <c r="C72" s="29" t="n"/>
      <c r="D72" s="29" t="n"/>
      <c r="E72" s="14">
        <f>IF(C72="","",'3 Sistema'!$C$6)</f>
        <v/>
      </c>
      <c r="F72" s="27">
        <f>IF(C72="","",C72*E72+N(D72))</f>
        <v/>
      </c>
      <c r="G72" s="27">
        <f>IF(C72="","",C72+N(D72)-F72)</f>
        <v/>
      </c>
      <c r="H72" s="17">
        <f>IF(A72="","",YEAR(A72)*100+MONTH(A72))</f>
        <v/>
      </c>
      <c r="I72" s="9" t="n"/>
    </row>
    <row r="73">
      <c r="A73" s="28" t="n"/>
      <c r="B73" s="9" t="n"/>
      <c r="C73" s="29" t="n"/>
      <c r="D73" s="29" t="n"/>
      <c r="E73" s="14">
        <f>IF(C73="","",'3 Sistema'!$C$6)</f>
        <v/>
      </c>
      <c r="F73" s="27">
        <f>IF(C73="","",C73*E73+N(D73))</f>
        <v/>
      </c>
      <c r="G73" s="27">
        <f>IF(C73="","",C73+N(D73)-F73)</f>
        <v/>
      </c>
      <c r="H73" s="17">
        <f>IF(A73="","",YEAR(A73)*100+MONTH(A73))</f>
        <v/>
      </c>
      <c r="I73" s="9" t="n"/>
    </row>
    <row r="74">
      <c r="A74" s="28" t="n"/>
      <c r="B74" s="9" t="n"/>
      <c r="C74" s="29" t="n"/>
      <c r="D74" s="29" t="n"/>
      <c r="E74" s="14">
        <f>IF(C74="","",'3 Sistema'!$C$6)</f>
        <v/>
      </c>
      <c r="F74" s="27">
        <f>IF(C74="","",C74*E74+N(D74))</f>
        <v/>
      </c>
      <c r="G74" s="27">
        <f>IF(C74="","",C74+N(D74)-F74)</f>
        <v/>
      </c>
      <c r="H74" s="17">
        <f>IF(A74="","",YEAR(A74)*100+MONTH(A74))</f>
        <v/>
      </c>
      <c r="I74" s="9" t="n"/>
    </row>
    <row r="75">
      <c r="A75" s="28" t="n"/>
      <c r="B75" s="9" t="n"/>
      <c r="C75" s="29" t="n"/>
      <c r="D75" s="29" t="n"/>
      <c r="E75" s="14">
        <f>IF(C75="","",'3 Sistema'!$C$6)</f>
        <v/>
      </c>
      <c r="F75" s="27">
        <f>IF(C75="","",C75*E75+N(D75))</f>
        <v/>
      </c>
      <c r="G75" s="27">
        <f>IF(C75="","",C75+N(D75)-F75)</f>
        <v/>
      </c>
      <c r="H75" s="17">
        <f>IF(A75="","",YEAR(A75)*100+MONTH(A75))</f>
        <v/>
      </c>
      <c r="I75" s="9" t="n"/>
    </row>
    <row r="76">
      <c r="A76" s="28" t="n"/>
      <c r="B76" s="9" t="n"/>
      <c r="C76" s="29" t="n"/>
      <c r="D76" s="29" t="n"/>
      <c r="E76" s="14">
        <f>IF(C76="","",'3 Sistema'!$C$6)</f>
        <v/>
      </c>
      <c r="F76" s="27">
        <f>IF(C76="","",C76*E76+N(D76))</f>
        <v/>
      </c>
      <c r="G76" s="27">
        <f>IF(C76="","",C76+N(D76)-F76)</f>
        <v/>
      </c>
      <c r="H76" s="17">
        <f>IF(A76="","",YEAR(A76)*100+MONTH(A76))</f>
        <v/>
      </c>
      <c r="I76" s="9" t="n"/>
    </row>
    <row r="77">
      <c r="A77" s="28" t="n"/>
      <c r="B77" s="9" t="n"/>
      <c r="C77" s="29" t="n"/>
      <c r="D77" s="29" t="n"/>
      <c r="E77" s="14">
        <f>IF(C77="","",'3 Sistema'!$C$6)</f>
        <v/>
      </c>
      <c r="F77" s="27">
        <f>IF(C77="","",C77*E77+N(D77))</f>
        <v/>
      </c>
      <c r="G77" s="27">
        <f>IF(C77="","",C77+N(D77)-F77)</f>
        <v/>
      </c>
      <c r="H77" s="17">
        <f>IF(A77="","",YEAR(A77)*100+MONTH(A77))</f>
        <v/>
      </c>
      <c r="I77" s="9" t="n"/>
    </row>
    <row r="78">
      <c r="A78" s="28" t="n"/>
      <c r="B78" s="9" t="n"/>
      <c r="C78" s="29" t="n"/>
      <c r="D78" s="29" t="n"/>
      <c r="E78" s="14">
        <f>IF(C78="","",'3 Sistema'!$C$6)</f>
        <v/>
      </c>
      <c r="F78" s="27">
        <f>IF(C78="","",C78*E78+N(D78))</f>
        <v/>
      </c>
      <c r="G78" s="27">
        <f>IF(C78="","",C78+N(D78)-F78)</f>
        <v/>
      </c>
      <c r="H78" s="17">
        <f>IF(A78="","",YEAR(A78)*100+MONTH(A78))</f>
        <v/>
      </c>
      <c r="I78" s="9" t="n"/>
    </row>
    <row r="79">
      <c r="A79" s="28" t="n"/>
      <c r="B79" s="9" t="n"/>
      <c r="C79" s="29" t="n"/>
      <c r="D79" s="29" t="n"/>
      <c r="E79" s="14">
        <f>IF(C79="","",'3 Sistema'!$C$6)</f>
        <v/>
      </c>
      <c r="F79" s="27">
        <f>IF(C79="","",C79*E79+N(D79))</f>
        <v/>
      </c>
      <c r="G79" s="27">
        <f>IF(C79="","",C79+N(D79)-F79)</f>
        <v/>
      </c>
      <c r="H79" s="17">
        <f>IF(A79="","",YEAR(A79)*100+MONTH(A79))</f>
        <v/>
      </c>
      <c r="I79" s="9" t="n"/>
    </row>
    <row r="80">
      <c r="A80" s="28" t="n"/>
      <c r="B80" s="9" t="n"/>
      <c r="C80" s="29" t="n"/>
      <c r="D80" s="29" t="n"/>
      <c r="E80" s="14">
        <f>IF(C80="","",'3 Sistema'!$C$6)</f>
        <v/>
      </c>
      <c r="F80" s="27">
        <f>IF(C80="","",C80*E80+N(D80))</f>
        <v/>
      </c>
      <c r="G80" s="27">
        <f>IF(C80="","",C80+N(D80)-F80)</f>
        <v/>
      </c>
      <c r="H80" s="17">
        <f>IF(A80="","",YEAR(A80)*100+MONTH(A80))</f>
        <v/>
      </c>
      <c r="I80" s="9" t="n"/>
    </row>
    <row r="81">
      <c r="A81" s="28" t="n"/>
      <c r="B81" s="9" t="n"/>
      <c r="C81" s="29" t="n"/>
      <c r="D81" s="29" t="n"/>
      <c r="E81" s="14">
        <f>IF(C81="","",'3 Sistema'!$C$6)</f>
        <v/>
      </c>
      <c r="F81" s="27">
        <f>IF(C81="","",C81*E81+N(D81))</f>
        <v/>
      </c>
      <c r="G81" s="27">
        <f>IF(C81="","",C81+N(D81)-F81)</f>
        <v/>
      </c>
      <c r="H81" s="17">
        <f>IF(A81="","",YEAR(A81)*100+MONTH(A81))</f>
        <v/>
      </c>
      <c r="I81" s="9" t="n"/>
    </row>
    <row r="82">
      <c r="A82" s="28" t="n"/>
      <c r="B82" s="9" t="n"/>
      <c r="C82" s="29" t="n"/>
      <c r="D82" s="29" t="n"/>
      <c r="E82" s="14">
        <f>IF(C82="","",'3 Sistema'!$C$6)</f>
        <v/>
      </c>
      <c r="F82" s="27">
        <f>IF(C82="","",C82*E82+N(D82))</f>
        <v/>
      </c>
      <c r="G82" s="27">
        <f>IF(C82="","",C82+N(D82)-F82)</f>
        <v/>
      </c>
      <c r="H82" s="17">
        <f>IF(A82="","",YEAR(A82)*100+MONTH(A82))</f>
        <v/>
      </c>
      <c r="I82" s="9" t="n"/>
    </row>
    <row r="83">
      <c r="A83" s="28" t="n"/>
      <c r="B83" s="9" t="n"/>
      <c r="C83" s="29" t="n"/>
      <c r="D83" s="29" t="n"/>
      <c r="E83" s="14">
        <f>IF(C83="","",'3 Sistema'!$C$6)</f>
        <v/>
      </c>
      <c r="F83" s="27">
        <f>IF(C83="","",C83*E83+N(D83))</f>
        <v/>
      </c>
      <c r="G83" s="27">
        <f>IF(C83="","",C83+N(D83)-F83)</f>
        <v/>
      </c>
      <c r="H83" s="17">
        <f>IF(A83="","",YEAR(A83)*100+MONTH(A83))</f>
        <v/>
      </c>
      <c r="I83" s="9" t="n"/>
    </row>
    <row r="84">
      <c r="A84" s="28" t="n"/>
      <c r="B84" s="9" t="n"/>
      <c r="C84" s="29" t="n"/>
      <c r="D84" s="29" t="n"/>
      <c r="E84" s="14">
        <f>IF(C84="","",'3 Sistema'!$C$6)</f>
        <v/>
      </c>
      <c r="F84" s="27">
        <f>IF(C84="","",C84*E84+N(D84))</f>
        <v/>
      </c>
      <c r="G84" s="27">
        <f>IF(C84="","",C84+N(D84)-F84)</f>
        <v/>
      </c>
      <c r="H84" s="17">
        <f>IF(A84="","",YEAR(A84)*100+MONTH(A84))</f>
        <v/>
      </c>
      <c r="I84" s="9" t="n"/>
    </row>
    <row r="85">
      <c r="A85" s="28" t="n"/>
      <c r="B85" s="9" t="n"/>
      <c r="C85" s="29" t="n"/>
      <c r="D85" s="29" t="n"/>
      <c r="E85" s="14">
        <f>IF(C85="","",'3 Sistema'!$C$6)</f>
        <v/>
      </c>
      <c r="F85" s="27">
        <f>IF(C85="","",C85*E85+N(D85))</f>
        <v/>
      </c>
      <c r="G85" s="27">
        <f>IF(C85="","",C85+N(D85)-F85)</f>
        <v/>
      </c>
      <c r="H85" s="17">
        <f>IF(A85="","",YEAR(A85)*100+MONTH(A85))</f>
        <v/>
      </c>
      <c r="I85" s="9" t="n"/>
    </row>
    <row r="86">
      <c r="A86" s="28" t="n"/>
      <c r="B86" s="9" t="n"/>
      <c r="C86" s="29" t="n"/>
      <c r="D86" s="29" t="n"/>
      <c r="E86" s="14">
        <f>IF(C86="","",'3 Sistema'!$C$6)</f>
        <v/>
      </c>
      <c r="F86" s="27">
        <f>IF(C86="","",C86*E86+N(D86))</f>
        <v/>
      </c>
      <c r="G86" s="27">
        <f>IF(C86="","",C86+N(D86)-F86)</f>
        <v/>
      </c>
      <c r="H86" s="17">
        <f>IF(A86="","",YEAR(A86)*100+MONTH(A86))</f>
        <v/>
      </c>
      <c r="I86" s="9" t="n"/>
    </row>
    <row r="87">
      <c r="A87" s="28" t="n"/>
      <c r="B87" s="9" t="n"/>
      <c r="C87" s="29" t="n"/>
      <c r="D87" s="29" t="n"/>
      <c r="E87" s="14">
        <f>IF(C87="","",'3 Sistema'!$C$6)</f>
        <v/>
      </c>
      <c r="F87" s="27">
        <f>IF(C87="","",C87*E87+N(D87))</f>
        <v/>
      </c>
      <c r="G87" s="27">
        <f>IF(C87="","",C87+N(D87)-F87)</f>
        <v/>
      </c>
      <c r="H87" s="17">
        <f>IF(A87="","",YEAR(A87)*100+MONTH(A87))</f>
        <v/>
      </c>
      <c r="I87" s="9" t="n"/>
    </row>
    <row r="88">
      <c r="A88" s="28" t="n"/>
      <c r="B88" s="9" t="n"/>
      <c r="C88" s="29" t="n"/>
      <c r="D88" s="29" t="n"/>
      <c r="E88" s="14">
        <f>IF(C88="","",'3 Sistema'!$C$6)</f>
        <v/>
      </c>
      <c r="F88" s="27">
        <f>IF(C88="","",C88*E88+N(D88))</f>
        <v/>
      </c>
      <c r="G88" s="27">
        <f>IF(C88="","",C88+N(D88)-F88)</f>
        <v/>
      </c>
      <c r="H88" s="17">
        <f>IF(A88="","",YEAR(A88)*100+MONTH(A88))</f>
        <v/>
      </c>
      <c r="I88" s="9" t="n"/>
    </row>
    <row r="89">
      <c r="A89" s="28" t="n"/>
      <c r="B89" s="9" t="n"/>
      <c r="C89" s="29" t="n"/>
      <c r="D89" s="29" t="n"/>
      <c r="E89" s="14">
        <f>IF(C89="","",'3 Sistema'!$C$6)</f>
        <v/>
      </c>
      <c r="F89" s="27">
        <f>IF(C89="","",C89*E89+N(D89))</f>
        <v/>
      </c>
      <c r="G89" s="27">
        <f>IF(C89="","",C89+N(D89)-F89)</f>
        <v/>
      </c>
      <c r="H89" s="17">
        <f>IF(A89="","",YEAR(A89)*100+MONTH(A89))</f>
        <v/>
      </c>
      <c r="I89" s="9" t="n"/>
    </row>
    <row r="90">
      <c r="A90" s="28" t="n"/>
      <c r="B90" s="9" t="n"/>
      <c r="C90" s="29" t="n"/>
      <c r="D90" s="29" t="n"/>
      <c r="E90" s="14">
        <f>IF(C90="","",'3 Sistema'!$C$6)</f>
        <v/>
      </c>
      <c r="F90" s="27">
        <f>IF(C90="","",C90*E90+N(D90))</f>
        <v/>
      </c>
      <c r="G90" s="27">
        <f>IF(C90="","",C90+N(D90)-F90)</f>
        <v/>
      </c>
      <c r="H90" s="17">
        <f>IF(A90="","",YEAR(A90)*100+MONTH(A90))</f>
        <v/>
      </c>
      <c r="I90" s="9" t="n"/>
    </row>
    <row r="91">
      <c r="A91" s="28" t="n"/>
      <c r="B91" s="9" t="n"/>
      <c r="C91" s="29" t="n"/>
      <c r="D91" s="29" t="n"/>
      <c r="E91" s="14">
        <f>IF(C91="","",'3 Sistema'!$C$6)</f>
        <v/>
      </c>
      <c r="F91" s="27">
        <f>IF(C91="","",C91*E91+N(D91))</f>
        <v/>
      </c>
      <c r="G91" s="27">
        <f>IF(C91="","",C91+N(D91)-F91)</f>
        <v/>
      </c>
      <c r="H91" s="17">
        <f>IF(A91="","",YEAR(A91)*100+MONTH(A91))</f>
        <v/>
      </c>
      <c r="I91" s="9" t="n"/>
    </row>
    <row r="92">
      <c r="A92" s="28" t="n"/>
      <c r="B92" s="9" t="n"/>
      <c r="C92" s="29" t="n"/>
      <c r="D92" s="29" t="n"/>
      <c r="E92" s="14">
        <f>IF(C92="","",'3 Sistema'!$C$6)</f>
        <v/>
      </c>
      <c r="F92" s="27">
        <f>IF(C92="","",C92*E92+N(D92))</f>
        <v/>
      </c>
      <c r="G92" s="27">
        <f>IF(C92="","",C92+N(D92)-F92)</f>
        <v/>
      </c>
      <c r="H92" s="17">
        <f>IF(A92="","",YEAR(A92)*100+MONTH(A92))</f>
        <v/>
      </c>
      <c r="I92" s="9" t="n"/>
    </row>
    <row r="93">
      <c r="A93" s="28" t="n"/>
      <c r="B93" s="9" t="n"/>
      <c r="C93" s="29" t="n"/>
      <c r="D93" s="29" t="n"/>
      <c r="E93" s="14">
        <f>IF(C93="","",'3 Sistema'!$C$6)</f>
        <v/>
      </c>
      <c r="F93" s="27">
        <f>IF(C93="","",C93*E93+N(D93))</f>
        <v/>
      </c>
      <c r="G93" s="27">
        <f>IF(C93="","",C93+N(D93)-F93)</f>
        <v/>
      </c>
      <c r="H93" s="17">
        <f>IF(A93="","",YEAR(A93)*100+MONTH(A93))</f>
        <v/>
      </c>
      <c r="I93" s="9" t="n"/>
    </row>
    <row r="94">
      <c r="A94" s="28" t="n"/>
      <c r="B94" s="9" t="n"/>
      <c r="C94" s="29" t="n"/>
      <c r="D94" s="29" t="n"/>
      <c r="E94" s="14">
        <f>IF(C94="","",'3 Sistema'!$C$6)</f>
        <v/>
      </c>
      <c r="F94" s="27">
        <f>IF(C94="","",C94*E94+N(D94))</f>
        <v/>
      </c>
      <c r="G94" s="27">
        <f>IF(C94="","",C94+N(D94)-F94)</f>
        <v/>
      </c>
      <c r="H94" s="17">
        <f>IF(A94="","",YEAR(A94)*100+MONTH(A94))</f>
        <v/>
      </c>
      <c r="I94" s="9" t="n"/>
    </row>
    <row r="95">
      <c r="A95" s="28" t="n"/>
      <c r="B95" s="9" t="n"/>
      <c r="C95" s="29" t="n"/>
      <c r="D95" s="29" t="n"/>
      <c r="E95" s="14">
        <f>IF(C95="","",'3 Sistema'!$C$6)</f>
        <v/>
      </c>
      <c r="F95" s="27">
        <f>IF(C95="","",C95*E95+N(D95))</f>
        <v/>
      </c>
      <c r="G95" s="27">
        <f>IF(C95="","",C95+N(D95)-F95)</f>
        <v/>
      </c>
      <c r="H95" s="17">
        <f>IF(A95="","",YEAR(A95)*100+MONTH(A95))</f>
        <v/>
      </c>
      <c r="I95" s="9" t="n"/>
    </row>
    <row r="96">
      <c r="A96" s="28" t="n"/>
      <c r="B96" s="9" t="n"/>
      <c r="C96" s="29" t="n"/>
      <c r="D96" s="29" t="n"/>
      <c r="E96" s="14">
        <f>IF(C96="","",'3 Sistema'!$C$6)</f>
        <v/>
      </c>
      <c r="F96" s="27">
        <f>IF(C96="","",C96*E96+N(D96))</f>
        <v/>
      </c>
      <c r="G96" s="27">
        <f>IF(C96="","",C96+N(D96)-F96)</f>
        <v/>
      </c>
      <c r="H96" s="17">
        <f>IF(A96="","",YEAR(A96)*100+MONTH(A96))</f>
        <v/>
      </c>
      <c r="I96" s="9" t="n"/>
    </row>
    <row r="97">
      <c r="A97" s="28" t="n"/>
      <c r="B97" s="9" t="n"/>
      <c r="C97" s="29" t="n"/>
      <c r="D97" s="29" t="n"/>
      <c r="E97" s="14">
        <f>IF(C97="","",'3 Sistema'!$C$6)</f>
        <v/>
      </c>
      <c r="F97" s="27">
        <f>IF(C97="","",C97*E97+N(D97))</f>
        <v/>
      </c>
      <c r="G97" s="27">
        <f>IF(C97="","",C97+N(D97)-F97)</f>
        <v/>
      </c>
      <c r="H97" s="17">
        <f>IF(A97="","",YEAR(A97)*100+MONTH(A97))</f>
        <v/>
      </c>
      <c r="I97" s="9" t="n"/>
    </row>
    <row r="98">
      <c r="A98" s="28" t="n"/>
      <c r="B98" s="9" t="n"/>
      <c r="C98" s="29" t="n"/>
      <c r="D98" s="29" t="n"/>
      <c r="E98" s="14">
        <f>IF(C98="","",'3 Sistema'!$C$6)</f>
        <v/>
      </c>
      <c r="F98" s="27">
        <f>IF(C98="","",C98*E98+N(D98))</f>
        <v/>
      </c>
      <c r="G98" s="27">
        <f>IF(C98="","",C98+N(D98)-F98)</f>
        <v/>
      </c>
      <c r="H98" s="17">
        <f>IF(A98="","",YEAR(A98)*100+MONTH(A98))</f>
        <v/>
      </c>
      <c r="I98" s="9" t="n"/>
    </row>
    <row r="99">
      <c r="A99" s="28" t="n"/>
      <c r="B99" s="9" t="n"/>
      <c r="C99" s="29" t="n"/>
      <c r="D99" s="29" t="n"/>
      <c r="E99" s="14">
        <f>IF(C99="","",'3 Sistema'!$C$6)</f>
        <v/>
      </c>
      <c r="F99" s="27">
        <f>IF(C99="","",C99*E99+N(D99))</f>
        <v/>
      </c>
      <c r="G99" s="27">
        <f>IF(C99="","",C99+N(D99)-F99)</f>
        <v/>
      </c>
      <c r="H99" s="17">
        <f>IF(A99="","",YEAR(A99)*100+MONTH(A99))</f>
        <v/>
      </c>
      <c r="I99" s="9" t="n"/>
    </row>
    <row r="100">
      <c r="A100" s="28" t="n"/>
      <c r="B100" s="9" t="n"/>
      <c r="C100" s="29" t="n"/>
      <c r="D100" s="29" t="n"/>
      <c r="E100" s="14">
        <f>IF(C100="","",'3 Sistema'!$C$6)</f>
        <v/>
      </c>
      <c r="F100" s="27">
        <f>IF(C100="","",C100*E100+N(D100))</f>
        <v/>
      </c>
      <c r="G100" s="27">
        <f>IF(C100="","",C100+N(D100)-F100)</f>
        <v/>
      </c>
      <c r="H100" s="17">
        <f>IF(A100="","",YEAR(A100)*100+MONTH(A100))</f>
        <v/>
      </c>
      <c r="I100" s="9" t="n"/>
    </row>
    <row r="101">
      <c r="A101" s="28" t="n"/>
      <c r="B101" s="9" t="n"/>
      <c r="C101" s="29" t="n"/>
      <c r="D101" s="29" t="n"/>
      <c r="E101" s="14">
        <f>IF(C101="","",'3 Sistema'!$C$6)</f>
        <v/>
      </c>
      <c r="F101" s="27">
        <f>IF(C101="","",C101*E101+N(D101))</f>
        <v/>
      </c>
      <c r="G101" s="27">
        <f>IF(C101="","",C101+N(D101)-F101)</f>
        <v/>
      </c>
      <c r="H101" s="17">
        <f>IF(A101="","",YEAR(A101)*100+MONTH(A101))</f>
        <v/>
      </c>
      <c r="I101" s="9" t="n"/>
    </row>
    <row r="102">
      <c r="A102" s="28" t="n"/>
      <c r="B102" s="9" t="n"/>
      <c r="C102" s="29" t="n"/>
      <c r="D102" s="29" t="n"/>
      <c r="E102" s="14">
        <f>IF(C102="","",'3 Sistema'!$C$6)</f>
        <v/>
      </c>
      <c r="F102" s="27">
        <f>IF(C102="","",C102*E102+N(D102))</f>
        <v/>
      </c>
      <c r="G102" s="27">
        <f>IF(C102="","",C102+N(D102)-F102)</f>
        <v/>
      </c>
      <c r="H102" s="17">
        <f>IF(A102="","",YEAR(A102)*100+MONTH(A102))</f>
        <v/>
      </c>
      <c r="I102" s="9" t="n"/>
    </row>
    <row r="103">
      <c r="A103" s="28" t="n"/>
      <c r="B103" s="9" t="n"/>
      <c r="C103" s="29" t="n"/>
      <c r="D103" s="29" t="n"/>
      <c r="E103" s="14">
        <f>IF(C103="","",'3 Sistema'!$C$6)</f>
        <v/>
      </c>
      <c r="F103" s="27">
        <f>IF(C103="","",C103*E103+N(D103))</f>
        <v/>
      </c>
      <c r="G103" s="27">
        <f>IF(C103="","",C103+N(D103)-F103)</f>
        <v/>
      </c>
      <c r="H103" s="17">
        <f>IF(A103="","",YEAR(A103)*100+MONTH(A103))</f>
        <v/>
      </c>
      <c r="I103" s="9" t="n"/>
    </row>
    <row r="104">
      <c r="A104" s="28" t="n"/>
      <c r="B104" s="9" t="n"/>
      <c r="C104" s="29" t="n"/>
      <c r="D104" s="29" t="n"/>
      <c r="E104" s="14">
        <f>IF(C104="","",'3 Sistema'!$C$6)</f>
        <v/>
      </c>
      <c r="F104" s="27">
        <f>IF(C104="","",C104*E104+N(D104))</f>
        <v/>
      </c>
      <c r="G104" s="27">
        <f>IF(C104="","",C104+N(D104)-F104)</f>
        <v/>
      </c>
      <c r="H104" s="17">
        <f>IF(A104="","",YEAR(A104)*100+MONTH(A104))</f>
        <v/>
      </c>
      <c r="I104" s="9" t="n"/>
    </row>
    <row r="105">
      <c r="A105" s="28" t="n"/>
      <c r="B105" s="9" t="n"/>
      <c r="C105" s="29" t="n"/>
      <c r="D105" s="29" t="n"/>
      <c r="E105" s="14">
        <f>IF(C105="","",'3 Sistema'!$C$6)</f>
        <v/>
      </c>
      <c r="F105" s="27">
        <f>IF(C105="","",C105*E105+N(D105))</f>
        <v/>
      </c>
      <c r="G105" s="27">
        <f>IF(C105="","",C105+N(D105)-F105)</f>
        <v/>
      </c>
      <c r="H105" s="17">
        <f>IF(A105="","",YEAR(A105)*100+MONTH(A105))</f>
        <v/>
      </c>
      <c r="I105" s="9" t="n"/>
    </row>
    <row r="106">
      <c r="A106" s="28" t="n"/>
      <c r="B106" s="9" t="n"/>
      <c r="C106" s="29" t="n"/>
      <c r="D106" s="29" t="n"/>
      <c r="E106" s="14">
        <f>IF(C106="","",'3 Sistema'!$C$6)</f>
        <v/>
      </c>
      <c r="F106" s="27">
        <f>IF(C106="","",C106*E106+N(D106))</f>
        <v/>
      </c>
      <c r="G106" s="27">
        <f>IF(C106="","",C106+N(D106)-F106)</f>
        <v/>
      </c>
      <c r="H106" s="17">
        <f>IF(A106="","",YEAR(A106)*100+MONTH(A106))</f>
        <v/>
      </c>
      <c r="I106" s="9" t="n"/>
    </row>
    <row r="107">
      <c r="A107" s="28" t="n"/>
      <c r="B107" s="9" t="n"/>
      <c r="C107" s="29" t="n"/>
      <c r="D107" s="29" t="n"/>
      <c r="E107" s="14">
        <f>IF(C107="","",'3 Sistema'!$C$6)</f>
        <v/>
      </c>
      <c r="F107" s="27">
        <f>IF(C107="","",C107*E107+N(D107))</f>
        <v/>
      </c>
      <c r="G107" s="27">
        <f>IF(C107="","",C107+N(D107)-F107)</f>
        <v/>
      </c>
      <c r="H107" s="17">
        <f>IF(A107="","",YEAR(A107)*100+MONTH(A107))</f>
        <v/>
      </c>
      <c r="I107" s="9" t="n"/>
    </row>
    <row r="108">
      <c r="A108" s="28" t="n"/>
      <c r="B108" s="9" t="n"/>
      <c r="C108" s="29" t="n"/>
      <c r="D108" s="29" t="n"/>
      <c r="E108" s="14">
        <f>IF(C108="","",'3 Sistema'!$C$6)</f>
        <v/>
      </c>
      <c r="F108" s="27">
        <f>IF(C108="","",C108*E108+N(D108))</f>
        <v/>
      </c>
      <c r="G108" s="27">
        <f>IF(C108="","",C108+N(D108)-F108)</f>
        <v/>
      </c>
      <c r="H108" s="17">
        <f>IF(A108="","",YEAR(A108)*100+MONTH(A108))</f>
        <v/>
      </c>
      <c r="I108" s="9" t="n"/>
    </row>
    <row r="109">
      <c r="A109" s="28" t="n"/>
      <c r="B109" s="9" t="n"/>
      <c r="C109" s="29" t="n"/>
      <c r="D109" s="29" t="n"/>
      <c r="E109" s="14">
        <f>IF(C109="","",'3 Sistema'!$C$6)</f>
        <v/>
      </c>
      <c r="F109" s="27">
        <f>IF(C109="","",C109*E109+N(D109))</f>
        <v/>
      </c>
      <c r="G109" s="27">
        <f>IF(C109="","",C109+N(D109)-F109)</f>
        <v/>
      </c>
      <c r="H109" s="17">
        <f>IF(A109="","",YEAR(A109)*100+MONTH(A109))</f>
        <v/>
      </c>
      <c r="I109" s="9" t="n"/>
    </row>
    <row r="110">
      <c r="A110" s="28" t="n"/>
      <c r="B110" s="9" t="n"/>
      <c r="C110" s="29" t="n"/>
      <c r="D110" s="29" t="n"/>
      <c r="E110" s="14">
        <f>IF(C110="","",'3 Sistema'!$C$6)</f>
        <v/>
      </c>
      <c r="F110" s="27">
        <f>IF(C110="","",C110*E110+N(D110))</f>
        <v/>
      </c>
      <c r="G110" s="27">
        <f>IF(C110="","",C110+N(D110)-F110)</f>
        <v/>
      </c>
      <c r="H110" s="17">
        <f>IF(A110="","",YEAR(A110)*100+MONTH(A110))</f>
        <v/>
      </c>
      <c r="I110" s="9" t="n"/>
    </row>
    <row r="111">
      <c r="A111" s="28" t="n"/>
      <c r="B111" s="9" t="n"/>
      <c r="C111" s="29" t="n"/>
      <c r="D111" s="29" t="n"/>
      <c r="E111" s="14">
        <f>IF(C111="","",'3 Sistema'!$C$6)</f>
        <v/>
      </c>
      <c r="F111" s="27">
        <f>IF(C111="","",C111*E111+N(D111))</f>
        <v/>
      </c>
      <c r="G111" s="27">
        <f>IF(C111="","",C111+N(D111)-F111)</f>
        <v/>
      </c>
      <c r="H111" s="17">
        <f>IF(A111="","",YEAR(A111)*100+MONTH(A111))</f>
        <v/>
      </c>
      <c r="I111" s="9" t="n"/>
    </row>
    <row r="112">
      <c r="A112" s="28" t="n"/>
      <c r="B112" s="9" t="n"/>
      <c r="C112" s="29" t="n"/>
      <c r="D112" s="29" t="n"/>
      <c r="E112" s="14">
        <f>IF(C112="","",'3 Sistema'!$C$6)</f>
        <v/>
      </c>
      <c r="F112" s="27">
        <f>IF(C112="","",C112*E112+N(D112))</f>
        <v/>
      </c>
      <c r="G112" s="27">
        <f>IF(C112="","",C112+N(D112)-F112)</f>
        <v/>
      </c>
      <c r="H112" s="17">
        <f>IF(A112="","",YEAR(A112)*100+MONTH(A112))</f>
        <v/>
      </c>
      <c r="I112" s="9" t="n"/>
    </row>
    <row r="113">
      <c r="A113" s="28" t="n"/>
      <c r="B113" s="9" t="n"/>
      <c r="C113" s="29" t="n"/>
      <c r="D113" s="29" t="n"/>
      <c r="E113" s="14">
        <f>IF(C113="","",'3 Sistema'!$C$6)</f>
        <v/>
      </c>
      <c r="F113" s="27">
        <f>IF(C113="","",C113*E113+N(D113))</f>
        <v/>
      </c>
      <c r="G113" s="27">
        <f>IF(C113="","",C113+N(D113)-F113)</f>
        <v/>
      </c>
      <c r="H113" s="17">
        <f>IF(A113="","",YEAR(A113)*100+MONTH(A113))</f>
        <v/>
      </c>
      <c r="I113" s="9" t="n"/>
    </row>
    <row r="114">
      <c r="A114" s="28" t="n"/>
      <c r="B114" s="9" t="n"/>
      <c r="C114" s="29" t="n"/>
      <c r="D114" s="29" t="n"/>
      <c r="E114" s="14">
        <f>IF(C114="","",'3 Sistema'!$C$6)</f>
        <v/>
      </c>
      <c r="F114" s="27">
        <f>IF(C114="","",C114*E114+N(D114))</f>
        <v/>
      </c>
      <c r="G114" s="27">
        <f>IF(C114="","",C114+N(D114)-F114)</f>
        <v/>
      </c>
      <c r="H114" s="17">
        <f>IF(A114="","",YEAR(A114)*100+MONTH(A114))</f>
        <v/>
      </c>
      <c r="I114" s="9" t="n"/>
    </row>
    <row r="115">
      <c r="A115" s="28" t="n"/>
      <c r="B115" s="9" t="n"/>
      <c r="C115" s="29" t="n"/>
      <c r="D115" s="29" t="n"/>
      <c r="E115" s="14">
        <f>IF(C115="","",'3 Sistema'!$C$6)</f>
        <v/>
      </c>
      <c r="F115" s="27">
        <f>IF(C115="","",C115*E115+N(D115))</f>
        <v/>
      </c>
      <c r="G115" s="27">
        <f>IF(C115="","",C115+N(D115)-F115)</f>
        <v/>
      </c>
      <c r="H115" s="17">
        <f>IF(A115="","",YEAR(A115)*100+MONTH(A115))</f>
        <v/>
      </c>
      <c r="I115" s="9" t="n"/>
    </row>
    <row r="116">
      <c r="A116" s="28" t="n"/>
      <c r="B116" s="9" t="n"/>
      <c r="C116" s="29" t="n"/>
      <c r="D116" s="29" t="n"/>
      <c r="E116" s="14">
        <f>IF(C116="","",'3 Sistema'!$C$6)</f>
        <v/>
      </c>
      <c r="F116" s="27">
        <f>IF(C116="","",C116*E116+N(D116))</f>
        <v/>
      </c>
      <c r="G116" s="27">
        <f>IF(C116="","",C116+N(D116)-F116)</f>
        <v/>
      </c>
      <c r="H116" s="17">
        <f>IF(A116="","",YEAR(A116)*100+MONTH(A116))</f>
        <v/>
      </c>
      <c r="I116" s="9" t="n"/>
    </row>
    <row r="117">
      <c r="A117" s="28" t="n"/>
      <c r="B117" s="9" t="n"/>
      <c r="C117" s="29" t="n"/>
      <c r="D117" s="29" t="n"/>
      <c r="E117" s="14">
        <f>IF(C117="","",'3 Sistema'!$C$6)</f>
        <v/>
      </c>
      <c r="F117" s="27">
        <f>IF(C117="","",C117*E117+N(D117))</f>
        <v/>
      </c>
      <c r="G117" s="27">
        <f>IF(C117="","",C117+N(D117)-F117)</f>
        <v/>
      </c>
      <c r="H117" s="17">
        <f>IF(A117="","",YEAR(A117)*100+MONTH(A117))</f>
        <v/>
      </c>
      <c r="I117" s="9" t="n"/>
    </row>
    <row r="118">
      <c r="A118" s="28" t="n"/>
      <c r="B118" s="9" t="n"/>
      <c r="C118" s="29" t="n"/>
      <c r="D118" s="29" t="n"/>
      <c r="E118" s="14">
        <f>IF(C118="","",'3 Sistema'!$C$6)</f>
        <v/>
      </c>
      <c r="F118" s="27">
        <f>IF(C118="","",C118*E118+N(D118))</f>
        <v/>
      </c>
      <c r="G118" s="27">
        <f>IF(C118="","",C118+N(D118)-F118)</f>
        <v/>
      </c>
      <c r="H118" s="17">
        <f>IF(A118="","",YEAR(A118)*100+MONTH(A118))</f>
        <v/>
      </c>
      <c r="I118" s="9" t="n"/>
    </row>
    <row r="119">
      <c r="A119" s="28" t="n"/>
      <c r="B119" s="9" t="n"/>
      <c r="C119" s="29" t="n"/>
      <c r="D119" s="29" t="n"/>
      <c r="E119" s="14">
        <f>IF(C119="","",'3 Sistema'!$C$6)</f>
        <v/>
      </c>
      <c r="F119" s="27">
        <f>IF(C119="","",C119*E119+N(D119))</f>
        <v/>
      </c>
      <c r="G119" s="27">
        <f>IF(C119="","",C119+N(D119)-F119)</f>
        <v/>
      </c>
      <c r="H119" s="17">
        <f>IF(A119="","",YEAR(A119)*100+MONTH(A119))</f>
        <v/>
      </c>
      <c r="I119" s="9" t="n"/>
    </row>
    <row r="120">
      <c r="A120" s="28" t="n"/>
      <c r="B120" s="9" t="n"/>
      <c r="C120" s="29" t="n"/>
      <c r="D120" s="29" t="n"/>
      <c r="E120" s="14">
        <f>IF(C120="","",'3 Sistema'!$C$6)</f>
        <v/>
      </c>
      <c r="F120" s="27">
        <f>IF(C120="","",C120*E120+N(D120))</f>
        <v/>
      </c>
      <c r="G120" s="27">
        <f>IF(C120="","",C120+N(D120)-F120)</f>
        <v/>
      </c>
      <c r="H120" s="17">
        <f>IF(A120="","",YEAR(A120)*100+MONTH(A120))</f>
        <v/>
      </c>
      <c r="I120" s="9" t="n"/>
    </row>
    <row r="121">
      <c r="A121" s="28" t="n"/>
      <c r="B121" s="9" t="n"/>
      <c r="C121" s="29" t="n"/>
      <c r="D121" s="29" t="n"/>
      <c r="E121" s="14">
        <f>IF(C121="","",'3 Sistema'!$C$6)</f>
        <v/>
      </c>
      <c r="F121" s="27">
        <f>IF(C121="","",C121*E121+N(D121))</f>
        <v/>
      </c>
      <c r="G121" s="27">
        <f>IF(C121="","",C121+N(D121)-F121)</f>
        <v/>
      </c>
      <c r="H121" s="17">
        <f>IF(A121="","",YEAR(A121)*100+MONTH(A121))</f>
        <v/>
      </c>
      <c r="I121" s="9" t="n"/>
    </row>
    <row r="122">
      <c r="A122" s="28" t="n"/>
      <c r="B122" s="9" t="n"/>
      <c r="C122" s="29" t="n"/>
      <c r="D122" s="29" t="n"/>
      <c r="E122" s="14">
        <f>IF(C122="","",'3 Sistema'!$C$6)</f>
        <v/>
      </c>
      <c r="F122" s="27">
        <f>IF(C122="","",C122*E122+N(D122))</f>
        <v/>
      </c>
      <c r="G122" s="27">
        <f>IF(C122="","",C122+N(D122)-F122)</f>
        <v/>
      </c>
      <c r="H122" s="17">
        <f>IF(A122="","",YEAR(A122)*100+MONTH(A122))</f>
        <v/>
      </c>
      <c r="I122" s="9" t="n"/>
    </row>
    <row r="123">
      <c r="A123" s="28" t="n"/>
      <c r="B123" s="9" t="n"/>
      <c r="C123" s="29" t="n"/>
      <c r="D123" s="29" t="n"/>
      <c r="E123" s="14">
        <f>IF(C123="","",'3 Sistema'!$C$6)</f>
        <v/>
      </c>
      <c r="F123" s="27">
        <f>IF(C123="","",C123*E123+N(D123))</f>
        <v/>
      </c>
      <c r="G123" s="27">
        <f>IF(C123="","",C123+N(D123)-F123)</f>
        <v/>
      </c>
      <c r="H123" s="17">
        <f>IF(A123="","",YEAR(A123)*100+MONTH(A123))</f>
        <v/>
      </c>
      <c r="I123" s="9" t="n"/>
    </row>
    <row r="124">
      <c r="A124" s="28" t="n"/>
      <c r="B124" s="9" t="n"/>
      <c r="C124" s="29" t="n"/>
      <c r="D124" s="29" t="n"/>
      <c r="E124" s="14">
        <f>IF(C124="","",'3 Sistema'!$C$6)</f>
        <v/>
      </c>
      <c r="F124" s="27">
        <f>IF(C124="","",C124*E124+N(D124))</f>
        <v/>
      </c>
      <c r="G124" s="27">
        <f>IF(C124="","",C124+N(D124)-F124)</f>
        <v/>
      </c>
      <c r="H124" s="17">
        <f>IF(A124="","",YEAR(A124)*100+MONTH(A124))</f>
        <v/>
      </c>
      <c r="I124" s="9" t="n"/>
    </row>
    <row r="125">
      <c r="A125" s="28" t="n"/>
      <c r="B125" s="9" t="n"/>
      <c r="C125" s="29" t="n"/>
      <c r="D125" s="29" t="n"/>
      <c r="E125" s="14">
        <f>IF(C125="","",'3 Sistema'!$C$6)</f>
        <v/>
      </c>
      <c r="F125" s="27">
        <f>IF(C125="","",C125*E125+N(D125))</f>
        <v/>
      </c>
      <c r="G125" s="27">
        <f>IF(C125="","",C125+N(D125)-F125)</f>
        <v/>
      </c>
      <c r="H125" s="17">
        <f>IF(A125="","",YEAR(A125)*100+MONTH(A125))</f>
        <v/>
      </c>
      <c r="I125" s="9" t="n"/>
    </row>
    <row r="126">
      <c r="A126" s="28" t="n"/>
      <c r="B126" s="9" t="n"/>
      <c r="C126" s="29" t="n"/>
      <c r="D126" s="29" t="n"/>
      <c r="E126" s="14">
        <f>IF(C126="","",'3 Sistema'!$C$6)</f>
        <v/>
      </c>
      <c r="F126" s="27">
        <f>IF(C126="","",C126*E126+N(D126))</f>
        <v/>
      </c>
      <c r="G126" s="27">
        <f>IF(C126="","",C126+N(D126)-F126)</f>
        <v/>
      </c>
      <c r="H126" s="17">
        <f>IF(A126="","",YEAR(A126)*100+MONTH(A126))</f>
        <v/>
      </c>
      <c r="I126" s="9" t="n"/>
    </row>
    <row r="127">
      <c r="A127" s="28" t="n"/>
      <c r="B127" s="9" t="n"/>
      <c r="C127" s="29" t="n"/>
      <c r="D127" s="29" t="n"/>
      <c r="E127" s="14">
        <f>IF(C127="","",'3 Sistema'!$C$6)</f>
        <v/>
      </c>
      <c r="F127" s="27">
        <f>IF(C127="","",C127*E127+N(D127))</f>
        <v/>
      </c>
      <c r="G127" s="27">
        <f>IF(C127="","",C127+N(D127)-F127)</f>
        <v/>
      </c>
      <c r="H127" s="17">
        <f>IF(A127="","",YEAR(A127)*100+MONTH(A127))</f>
        <v/>
      </c>
      <c r="I127" s="9" t="n"/>
    </row>
    <row r="128">
      <c r="A128" s="28" t="n"/>
      <c r="B128" s="9" t="n"/>
      <c r="C128" s="29" t="n"/>
      <c r="D128" s="29" t="n"/>
      <c r="E128" s="14">
        <f>IF(C128="","",'3 Sistema'!$C$6)</f>
        <v/>
      </c>
      <c r="F128" s="27">
        <f>IF(C128="","",C128*E128+N(D128))</f>
        <v/>
      </c>
      <c r="G128" s="27">
        <f>IF(C128="","",C128+N(D128)-F128)</f>
        <v/>
      </c>
      <c r="H128" s="17">
        <f>IF(A128="","",YEAR(A128)*100+MONTH(A128))</f>
        <v/>
      </c>
      <c r="I128" s="9" t="n"/>
    </row>
    <row r="129">
      <c r="A129" s="28" t="n"/>
      <c r="B129" s="9" t="n"/>
      <c r="C129" s="29" t="n"/>
      <c r="D129" s="29" t="n"/>
      <c r="E129" s="14">
        <f>IF(C129="","",'3 Sistema'!$C$6)</f>
        <v/>
      </c>
      <c r="F129" s="27">
        <f>IF(C129="","",C129*E129+N(D129))</f>
        <v/>
      </c>
      <c r="G129" s="27">
        <f>IF(C129="","",C129+N(D129)-F129)</f>
        <v/>
      </c>
      <c r="H129" s="17">
        <f>IF(A129="","",YEAR(A129)*100+MONTH(A129))</f>
        <v/>
      </c>
      <c r="I129" s="9" t="n"/>
    </row>
    <row r="130">
      <c r="A130" s="28" t="n"/>
      <c r="B130" s="9" t="n"/>
      <c r="C130" s="29" t="n"/>
      <c r="D130" s="29" t="n"/>
      <c r="E130" s="14">
        <f>IF(C130="","",'3 Sistema'!$C$6)</f>
        <v/>
      </c>
      <c r="F130" s="27">
        <f>IF(C130="","",C130*E130+N(D130))</f>
        <v/>
      </c>
      <c r="G130" s="27">
        <f>IF(C130="","",C130+N(D130)-F130)</f>
        <v/>
      </c>
      <c r="H130" s="17">
        <f>IF(A130="","",YEAR(A130)*100+MONTH(A130))</f>
        <v/>
      </c>
      <c r="I130" s="9" t="n"/>
    </row>
    <row r="131">
      <c r="A131" s="28" t="n"/>
      <c r="B131" s="9" t="n"/>
      <c r="C131" s="29" t="n"/>
      <c r="D131" s="29" t="n"/>
      <c r="E131" s="14">
        <f>IF(C131="","",'3 Sistema'!$C$6)</f>
        <v/>
      </c>
      <c r="F131" s="27">
        <f>IF(C131="","",C131*E131+N(D131))</f>
        <v/>
      </c>
      <c r="G131" s="27">
        <f>IF(C131="","",C131+N(D131)-F131)</f>
        <v/>
      </c>
      <c r="H131" s="17">
        <f>IF(A131="","",YEAR(A131)*100+MONTH(A131))</f>
        <v/>
      </c>
      <c r="I131" s="9" t="n"/>
    </row>
    <row r="132">
      <c r="A132" s="28" t="n"/>
      <c r="B132" s="9" t="n"/>
      <c r="C132" s="29" t="n"/>
      <c r="D132" s="29" t="n"/>
      <c r="E132" s="14">
        <f>IF(C132="","",'3 Sistema'!$C$6)</f>
        <v/>
      </c>
      <c r="F132" s="27">
        <f>IF(C132="","",C132*E132+N(D132))</f>
        <v/>
      </c>
      <c r="G132" s="27">
        <f>IF(C132="","",C132+N(D132)-F132)</f>
        <v/>
      </c>
      <c r="H132" s="17">
        <f>IF(A132="","",YEAR(A132)*100+MONTH(A132))</f>
        <v/>
      </c>
      <c r="I132" s="9" t="n"/>
    </row>
    <row r="133">
      <c r="A133" s="28" t="n"/>
      <c r="B133" s="9" t="n"/>
      <c r="C133" s="29" t="n"/>
      <c r="D133" s="29" t="n"/>
      <c r="E133" s="14">
        <f>IF(C133="","",'3 Sistema'!$C$6)</f>
        <v/>
      </c>
      <c r="F133" s="27">
        <f>IF(C133="","",C133*E133+N(D133))</f>
        <v/>
      </c>
      <c r="G133" s="27">
        <f>IF(C133="","",C133+N(D133)-F133)</f>
        <v/>
      </c>
      <c r="H133" s="17">
        <f>IF(A133="","",YEAR(A133)*100+MONTH(A133))</f>
        <v/>
      </c>
      <c r="I133" s="9" t="n"/>
    </row>
    <row r="134">
      <c r="A134" s="28" t="n"/>
      <c r="B134" s="9" t="n"/>
      <c r="C134" s="29" t="n"/>
      <c r="D134" s="29" t="n"/>
      <c r="E134" s="14">
        <f>IF(C134="","",'3 Sistema'!$C$6)</f>
        <v/>
      </c>
      <c r="F134" s="27">
        <f>IF(C134="","",C134*E134+N(D134))</f>
        <v/>
      </c>
      <c r="G134" s="27">
        <f>IF(C134="","",C134+N(D134)-F134)</f>
        <v/>
      </c>
      <c r="H134" s="17">
        <f>IF(A134="","",YEAR(A134)*100+MONTH(A134))</f>
        <v/>
      </c>
      <c r="I134" s="9" t="n"/>
    </row>
    <row r="135">
      <c r="A135" s="28" t="n"/>
      <c r="B135" s="9" t="n"/>
      <c r="C135" s="29" t="n"/>
      <c r="D135" s="29" t="n"/>
      <c r="E135" s="14">
        <f>IF(C135="","",'3 Sistema'!$C$6)</f>
        <v/>
      </c>
      <c r="F135" s="27">
        <f>IF(C135="","",C135*E135+N(D135))</f>
        <v/>
      </c>
      <c r="G135" s="27">
        <f>IF(C135="","",C135+N(D135)-F135)</f>
        <v/>
      </c>
      <c r="H135" s="17">
        <f>IF(A135="","",YEAR(A135)*100+MONTH(A135))</f>
        <v/>
      </c>
      <c r="I135" s="9" t="n"/>
    </row>
    <row r="136">
      <c r="A136" s="28" t="n"/>
      <c r="B136" s="9" t="n"/>
      <c r="C136" s="29" t="n"/>
      <c r="D136" s="29" t="n"/>
      <c r="E136" s="14">
        <f>IF(C136="","",'3 Sistema'!$C$6)</f>
        <v/>
      </c>
      <c r="F136" s="27">
        <f>IF(C136="","",C136*E136+N(D136))</f>
        <v/>
      </c>
      <c r="G136" s="27">
        <f>IF(C136="","",C136+N(D136)-F136)</f>
        <v/>
      </c>
      <c r="H136" s="17">
        <f>IF(A136="","",YEAR(A136)*100+MONTH(A136))</f>
        <v/>
      </c>
      <c r="I136" s="9" t="n"/>
    </row>
    <row r="137">
      <c r="A137" s="28" t="n"/>
      <c r="B137" s="9" t="n"/>
      <c r="C137" s="29" t="n"/>
      <c r="D137" s="29" t="n"/>
      <c r="E137" s="14">
        <f>IF(C137="","",'3 Sistema'!$C$6)</f>
        <v/>
      </c>
      <c r="F137" s="27">
        <f>IF(C137="","",C137*E137+N(D137))</f>
        <v/>
      </c>
      <c r="G137" s="27">
        <f>IF(C137="","",C137+N(D137)-F137)</f>
        <v/>
      </c>
      <c r="H137" s="17">
        <f>IF(A137="","",YEAR(A137)*100+MONTH(A137))</f>
        <v/>
      </c>
      <c r="I137" s="9" t="n"/>
    </row>
    <row r="138">
      <c r="A138" s="28" t="n"/>
      <c r="B138" s="9" t="n"/>
      <c r="C138" s="29" t="n"/>
      <c r="D138" s="29" t="n"/>
      <c r="E138" s="14">
        <f>IF(C138="","",'3 Sistema'!$C$6)</f>
        <v/>
      </c>
      <c r="F138" s="27">
        <f>IF(C138="","",C138*E138+N(D138))</f>
        <v/>
      </c>
      <c r="G138" s="27">
        <f>IF(C138="","",C138+N(D138)-F138)</f>
        <v/>
      </c>
      <c r="H138" s="17">
        <f>IF(A138="","",YEAR(A138)*100+MONTH(A138))</f>
        <v/>
      </c>
      <c r="I138" s="9" t="n"/>
    </row>
    <row r="139">
      <c r="A139" s="28" t="n"/>
      <c r="B139" s="9" t="n"/>
      <c r="C139" s="29" t="n"/>
      <c r="D139" s="29" t="n"/>
      <c r="E139" s="14">
        <f>IF(C139="","",'3 Sistema'!$C$6)</f>
        <v/>
      </c>
      <c r="F139" s="27">
        <f>IF(C139="","",C139*E139+N(D139))</f>
        <v/>
      </c>
      <c r="G139" s="27">
        <f>IF(C139="","",C139+N(D139)-F139)</f>
        <v/>
      </c>
      <c r="H139" s="17">
        <f>IF(A139="","",YEAR(A139)*100+MONTH(A139))</f>
        <v/>
      </c>
      <c r="I139" s="9" t="n"/>
    </row>
    <row r="140">
      <c r="A140" s="28" t="n"/>
      <c r="B140" s="9" t="n"/>
      <c r="C140" s="29" t="n"/>
      <c r="D140" s="29" t="n"/>
      <c r="E140" s="14">
        <f>IF(C140="","",'3 Sistema'!$C$6)</f>
        <v/>
      </c>
      <c r="F140" s="27">
        <f>IF(C140="","",C140*E140+N(D140))</f>
        <v/>
      </c>
      <c r="G140" s="27">
        <f>IF(C140="","",C140+N(D140)-F140)</f>
        <v/>
      </c>
      <c r="H140" s="17">
        <f>IF(A140="","",YEAR(A140)*100+MONTH(A140))</f>
        <v/>
      </c>
      <c r="I140" s="9" t="n"/>
    </row>
    <row r="141">
      <c r="A141" s="28" t="n"/>
      <c r="B141" s="9" t="n"/>
      <c r="C141" s="29" t="n"/>
      <c r="D141" s="29" t="n"/>
      <c r="E141" s="14">
        <f>IF(C141="","",'3 Sistema'!$C$6)</f>
        <v/>
      </c>
      <c r="F141" s="27">
        <f>IF(C141="","",C141*E141+N(D141))</f>
        <v/>
      </c>
      <c r="G141" s="27">
        <f>IF(C141="","",C141+N(D141)-F141)</f>
        <v/>
      </c>
      <c r="H141" s="17">
        <f>IF(A141="","",YEAR(A141)*100+MONTH(A141))</f>
        <v/>
      </c>
      <c r="I141" s="9" t="n"/>
    </row>
    <row r="142">
      <c r="A142" s="28" t="n"/>
      <c r="B142" s="9" t="n"/>
      <c r="C142" s="29" t="n"/>
      <c r="D142" s="29" t="n"/>
      <c r="E142" s="14">
        <f>IF(C142="","",'3 Sistema'!$C$6)</f>
        <v/>
      </c>
      <c r="F142" s="27">
        <f>IF(C142="","",C142*E142+N(D142))</f>
        <v/>
      </c>
      <c r="G142" s="27">
        <f>IF(C142="","",C142+N(D142)-F142)</f>
        <v/>
      </c>
      <c r="H142" s="17">
        <f>IF(A142="","",YEAR(A142)*100+MONTH(A142))</f>
        <v/>
      </c>
      <c r="I142" s="9" t="n"/>
    </row>
    <row r="143">
      <c r="A143" s="28" t="n"/>
      <c r="B143" s="9" t="n"/>
      <c r="C143" s="29" t="n"/>
      <c r="D143" s="29" t="n"/>
      <c r="E143" s="14">
        <f>IF(C143="","",'3 Sistema'!$C$6)</f>
        <v/>
      </c>
      <c r="F143" s="27">
        <f>IF(C143="","",C143*E143+N(D143))</f>
        <v/>
      </c>
      <c r="G143" s="27">
        <f>IF(C143="","",C143+N(D143)-F143)</f>
        <v/>
      </c>
      <c r="H143" s="17">
        <f>IF(A143="","",YEAR(A143)*100+MONTH(A143))</f>
        <v/>
      </c>
      <c r="I143" s="9" t="n"/>
    </row>
    <row r="144">
      <c r="A144" s="28" t="n"/>
      <c r="B144" s="9" t="n"/>
      <c r="C144" s="29" t="n"/>
      <c r="D144" s="29" t="n"/>
      <c r="E144" s="14">
        <f>IF(C144="","",'3 Sistema'!$C$6)</f>
        <v/>
      </c>
      <c r="F144" s="27">
        <f>IF(C144="","",C144*E144+N(D144))</f>
        <v/>
      </c>
      <c r="G144" s="27">
        <f>IF(C144="","",C144+N(D144)-F144)</f>
        <v/>
      </c>
      <c r="H144" s="17">
        <f>IF(A144="","",YEAR(A144)*100+MONTH(A144))</f>
        <v/>
      </c>
      <c r="I144" s="9" t="n"/>
    </row>
    <row r="145">
      <c r="A145" s="28" t="n"/>
      <c r="B145" s="9" t="n"/>
      <c r="C145" s="29" t="n"/>
      <c r="D145" s="29" t="n"/>
      <c r="E145" s="14">
        <f>IF(C145="","",'3 Sistema'!$C$6)</f>
        <v/>
      </c>
      <c r="F145" s="27">
        <f>IF(C145="","",C145*E145+N(D145))</f>
        <v/>
      </c>
      <c r="G145" s="27">
        <f>IF(C145="","",C145+N(D145)-F145)</f>
        <v/>
      </c>
      <c r="H145" s="17">
        <f>IF(A145="","",YEAR(A145)*100+MONTH(A145))</f>
        <v/>
      </c>
      <c r="I145" s="9" t="n"/>
    </row>
    <row r="146">
      <c r="A146" s="28" t="n"/>
      <c r="B146" s="9" t="n"/>
      <c r="C146" s="29" t="n"/>
      <c r="D146" s="29" t="n"/>
      <c r="E146" s="14">
        <f>IF(C146="","",'3 Sistema'!$C$6)</f>
        <v/>
      </c>
      <c r="F146" s="27">
        <f>IF(C146="","",C146*E146+N(D146))</f>
        <v/>
      </c>
      <c r="G146" s="27">
        <f>IF(C146="","",C146+N(D146)-F146)</f>
        <v/>
      </c>
      <c r="H146" s="17">
        <f>IF(A146="","",YEAR(A146)*100+MONTH(A146))</f>
        <v/>
      </c>
      <c r="I146" s="9" t="n"/>
    </row>
    <row r="147">
      <c r="A147" s="28" t="n"/>
      <c r="B147" s="9" t="n"/>
      <c r="C147" s="29" t="n"/>
      <c r="D147" s="29" t="n"/>
      <c r="E147" s="14">
        <f>IF(C147="","",'3 Sistema'!$C$6)</f>
        <v/>
      </c>
      <c r="F147" s="27">
        <f>IF(C147="","",C147*E147+N(D147))</f>
        <v/>
      </c>
      <c r="G147" s="27">
        <f>IF(C147="","",C147+N(D147)-F147)</f>
        <v/>
      </c>
      <c r="H147" s="17">
        <f>IF(A147="","",YEAR(A147)*100+MONTH(A147))</f>
        <v/>
      </c>
      <c r="I147" s="9" t="n"/>
    </row>
    <row r="148">
      <c r="A148" s="28" t="n"/>
      <c r="B148" s="9" t="n"/>
      <c r="C148" s="29" t="n"/>
      <c r="D148" s="29" t="n"/>
      <c r="E148" s="14">
        <f>IF(C148="","",'3 Sistema'!$C$6)</f>
        <v/>
      </c>
      <c r="F148" s="27">
        <f>IF(C148="","",C148*E148+N(D148))</f>
        <v/>
      </c>
      <c r="G148" s="27">
        <f>IF(C148="","",C148+N(D148)-F148)</f>
        <v/>
      </c>
      <c r="H148" s="17">
        <f>IF(A148="","",YEAR(A148)*100+MONTH(A148))</f>
        <v/>
      </c>
      <c r="I148" s="9" t="n"/>
    </row>
    <row r="149">
      <c r="A149" s="28" t="n"/>
      <c r="B149" s="9" t="n"/>
      <c r="C149" s="29" t="n"/>
      <c r="D149" s="29" t="n"/>
      <c r="E149" s="14">
        <f>IF(C149="","",'3 Sistema'!$C$6)</f>
        <v/>
      </c>
      <c r="F149" s="27">
        <f>IF(C149="","",C149*E149+N(D149))</f>
        <v/>
      </c>
      <c r="G149" s="27">
        <f>IF(C149="","",C149+N(D149)-F149)</f>
        <v/>
      </c>
      <c r="H149" s="17">
        <f>IF(A149="","",YEAR(A149)*100+MONTH(A149))</f>
        <v/>
      </c>
      <c r="I149" s="9" t="n"/>
    </row>
    <row r="150">
      <c r="A150" s="28" t="n"/>
      <c r="B150" s="9" t="n"/>
      <c r="C150" s="29" t="n"/>
      <c r="D150" s="29" t="n"/>
      <c r="E150" s="14">
        <f>IF(C150="","",'3 Sistema'!$C$6)</f>
        <v/>
      </c>
      <c r="F150" s="27">
        <f>IF(C150="","",C150*E150+N(D150))</f>
        <v/>
      </c>
      <c r="G150" s="27">
        <f>IF(C150="","",C150+N(D150)-F150)</f>
        <v/>
      </c>
      <c r="H150" s="17">
        <f>IF(A150="","",YEAR(A150)*100+MONTH(A150))</f>
        <v/>
      </c>
      <c r="I150" s="9" t="n"/>
    </row>
    <row r="151">
      <c r="A151" s="28" t="n"/>
      <c r="B151" s="9" t="n"/>
      <c r="C151" s="29" t="n"/>
      <c r="D151" s="29" t="n"/>
      <c r="E151" s="14">
        <f>IF(C151="","",'3 Sistema'!$C$6)</f>
        <v/>
      </c>
      <c r="F151" s="27">
        <f>IF(C151="","",C151*E151+N(D151))</f>
        <v/>
      </c>
      <c r="G151" s="27">
        <f>IF(C151="","",C151+N(D151)-F151)</f>
        <v/>
      </c>
      <c r="H151" s="17">
        <f>IF(A151="","",YEAR(A151)*100+MONTH(A151))</f>
        <v/>
      </c>
      <c r="I151" s="9" t="n"/>
    </row>
    <row r="152">
      <c r="A152" s="28" t="n"/>
      <c r="B152" s="9" t="n"/>
      <c r="C152" s="29" t="n"/>
      <c r="D152" s="29" t="n"/>
      <c r="E152" s="14">
        <f>IF(C152="","",'3 Sistema'!$C$6)</f>
        <v/>
      </c>
      <c r="F152" s="27">
        <f>IF(C152="","",C152*E152+N(D152))</f>
        <v/>
      </c>
      <c r="G152" s="27">
        <f>IF(C152="","",C152+N(D152)-F152)</f>
        <v/>
      </c>
      <c r="H152" s="17">
        <f>IF(A152="","",YEAR(A152)*100+MONTH(A152))</f>
        <v/>
      </c>
      <c r="I152" s="9" t="n"/>
    </row>
    <row r="153">
      <c r="A153" s="28" t="n"/>
      <c r="B153" s="9" t="n"/>
      <c r="C153" s="29" t="n"/>
      <c r="D153" s="29" t="n"/>
      <c r="E153" s="14">
        <f>IF(C153="","",'3 Sistema'!$C$6)</f>
        <v/>
      </c>
      <c r="F153" s="27">
        <f>IF(C153="","",C153*E153+N(D153))</f>
        <v/>
      </c>
      <c r="G153" s="27">
        <f>IF(C153="","",C153+N(D153)-F153)</f>
        <v/>
      </c>
      <c r="H153" s="17">
        <f>IF(A153="","",YEAR(A153)*100+MONTH(A153))</f>
        <v/>
      </c>
      <c r="I153" s="9" t="n"/>
    </row>
    <row r="154">
      <c r="A154" s="28" t="n"/>
      <c r="B154" s="9" t="n"/>
      <c r="C154" s="29" t="n"/>
      <c r="D154" s="29" t="n"/>
      <c r="E154" s="14">
        <f>IF(C154="","",'3 Sistema'!$C$6)</f>
        <v/>
      </c>
      <c r="F154" s="27">
        <f>IF(C154="","",C154*E154+N(D154))</f>
        <v/>
      </c>
      <c r="G154" s="27">
        <f>IF(C154="","",C154+N(D154)-F154)</f>
        <v/>
      </c>
      <c r="H154" s="17">
        <f>IF(A154="","",YEAR(A154)*100+MONTH(A154))</f>
        <v/>
      </c>
      <c r="I154" s="9" t="n"/>
    </row>
    <row r="155">
      <c r="A155" s="28" t="n"/>
      <c r="B155" s="9" t="n"/>
      <c r="C155" s="29" t="n"/>
      <c r="D155" s="29" t="n"/>
      <c r="E155" s="14">
        <f>IF(C155="","",'3 Sistema'!$C$6)</f>
        <v/>
      </c>
      <c r="F155" s="27">
        <f>IF(C155="","",C155*E155+N(D155))</f>
        <v/>
      </c>
      <c r="G155" s="27">
        <f>IF(C155="","",C155+N(D155)-F155)</f>
        <v/>
      </c>
      <c r="H155" s="17">
        <f>IF(A155="","",YEAR(A155)*100+MONTH(A155))</f>
        <v/>
      </c>
      <c r="I155" s="9" t="n"/>
    </row>
    <row r="156">
      <c r="A156" s="28" t="n"/>
      <c r="B156" s="9" t="n"/>
      <c r="C156" s="29" t="n"/>
      <c r="D156" s="29" t="n"/>
      <c r="E156" s="14">
        <f>IF(C156="","",'3 Sistema'!$C$6)</f>
        <v/>
      </c>
      <c r="F156" s="27">
        <f>IF(C156="","",C156*E156+N(D156))</f>
        <v/>
      </c>
      <c r="G156" s="27">
        <f>IF(C156="","",C156+N(D156)-F156)</f>
        <v/>
      </c>
      <c r="H156" s="17">
        <f>IF(A156="","",YEAR(A156)*100+MONTH(A156))</f>
        <v/>
      </c>
      <c r="I156" s="9" t="n"/>
    </row>
    <row r="157">
      <c r="A157" s="28" t="n"/>
      <c r="B157" s="9" t="n"/>
      <c r="C157" s="29" t="n"/>
      <c r="D157" s="29" t="n"/>
      <c r="E157" s="14">
        <f>IF(C157="","",'3 Sistema'!$C$6)</f>
        <v/>
      </c>
      <c r="F157" s="27">
        <f>IF(C157="","",C157*E157+N(D157))</f>
        <v/>
      </c>
      <c r="G157" s="27">
        <f>IF(C157="","",C157+N(D157)-F157)</f>
        <v/>
      </c>
      <c r="H157" s="17">
        <f>IF(A157="","",YEAR(A157)*100+MONTH(A157))</f>
        <v/>
      </c>
      <c r="I157" s="9" t="n"/>
    </row>
    <row r="158">
      <c r="A158" s="28" t="n"/>
      <c r="B158" s="9" t="n"/>
      <c r="C158" s="29" t="n"/>
      <c r="D158" s="29" t="n"/>
      <c r="E158" s="14">
        <f>IF(C158="","",'3 Sistema'!$C$6)</f>
        <v/>
      </c>
      <c r="F158" s="27">
        <f>IF(C158="","",C158*E158+N(D158))</f>
        <v/>
      </c>
      <c r="G158" s="27">
        <f>IF(C158="","",C158+N(D158)-F158)</f>
        <v/>
      </c>
      <c r="H158" s="17">
        <f>IF(A158="","",YEAR(A158)*100+MONTH(A158))</f>
        <v/>
      </c>
      <c r="I158" s="9" t="n"/>
    </row>
    <row r="159">
      <c r="A159" s="28" t="n"/>
      <c r="B159" s="9" t="n"/>
      <c r="C159" s="29" t="n"/>
      <c r="D159" s="29" t="n"/>
      <c r="E159" s="14">
        <f>IF(C159="","",'3 Sistema'!$C$6)</f>
        <v/>
      </c>
      <c r="F159" s="27">
        <f>IF(C159="","",C159*E159+N(D159))</f>
        <v/>
      </c>
      <c r="G159" s="27">
        <f>IF(C159="","",C159+N(D159)-F159)</f>
        <v/>
      </c>
      <c r="H159" s="17">
        <f>IF(A159="","",YEAR(A159)*100+MONTH(A159))</f>
        <v/>
      </c>
      <c r="I159" s="9" t="n"/>
    </row>
    <row r="160">
      <c r="A160" s="28" t="n"/>
      <c r="B160" s="9" t="n"/>
      <c r="C160" s="29" t="n"/>
      <c r="D160" s="29" t="n"/>
      <c r="E160" s="14">
        <f>IF(C160="","",'3 Sistema'!$C$6)</f>
        <v/>
      </c>
      <c r="F160" s="27">
        <f>IF(C160="","",C160*E160+N(D160))</f>
        <v/>
      </c>
      <c r="G160" s="27">
        <f>IF(C160="","",C160+N(D160)-F160)</f>
        <v/>
      </c>
      <c r="H160" s="17">
        <f>IF(A160="","",YEAR(A160)*100+MONTH(A160))</f>
        <v/>
      </c>
      <c r="I160" s="9" t="n"/>
    </row>
    <row r="161">
      <c r="A161" s="28" t="n"/>
      <c r="B161" s="9" t="n"/>
      <c r="C161" s="29" t="n"/>
      <c r="D161" s="29" t="n"/>
      <c r="E161" s="14">
        <f>IF(C161="","",'3 Sistema'!$C$6)</f>
        <v/>
      </c>
      <c r="F161" s="27">
        <f>IF(C161="","",C161*E161+N(D161))</f>
        <v/>
      </c>
      <c r="G161" s="27">
        <f>IF(C161="","",C161+N(D161)-F161)</f>
        <v/>
      </c>
      <c r="H161" s="17">
        <f>IF(A161="","",YEAR(A161)*100+MONTH(A161))</f>
        <v/>
      </c>
      <c r="I161" s="9" t="n"/>
    </row>
    <row r="162">
      <c r="A162" s="28" t="n"/>
      <c r="B162" s="9" t="n"/>
      <c r="C162" s="29" t="n"/>
      <c r="D162" s="29" t="n"/>
      <c r="E162" s="14">
        <f>IF(C162="","",'3 Sistema'!$C$6)</f>
        <v/>
      </c>
      <c r="F162" s="27">
        <f>IF(C162="","",C162*E162+N(D162))</f>
        <v/>
      </c>
      <c r="G162" s="27">
        <f>IF(C162="","",C162+N(D162)-F162)</f>
        <v/>
      </c>
      <c r="H162" s="17">
        <f>IF(A162="","",YEAR(A162)*100+MONTH(A162))</f>
        <v/>
      </c>
      <c r="I162" s="9" t="n"/>
    </row>
    <row r="163">
      <c r="A163" s="28" t="n"/>
      <c r="B163" s="9" t="n"/>
      <c r="C163" s="29" t="n"/>
      <c r="D163" s="29" t="n"/>
      <c r="E163" s="14">
        <f>IF(C163="","",'3 Sistema'!$C$6)</f>
        <v/>
      </c>
      <c r="F163" s="27">
        <f>IF(C163="","",C163*E163+N(D163))</f>
        <v/>
      </c>
      <c r="G163" s="27">
        <f>IF(C163="","",C163+N(D163)-F163)</f>
        <v/>
      </c>
      <c r="H163" s="17">
        <f>IF(A163="","",YEAR(A163)*100+MONTH(A163))</f>
        <v/>
      </c>
      <c r="I163" s="9" t="n"/>
    </row>
    <row r="164">
      <c r="A164" s="28" t="n"/>
      <c r="B164" s="9" t="n"/>
      <c r="C164" s="29" t="n"/>
      <c r="D164" s="29" t="n"/>
      <c r="E164" s="14">
        <f>IF(C164="","",'3 Sistema'!$C$6)</f>
        <v/>
      </c>
      <c r="F164" s="27">
        <f>IF(C164="","",C164*E164+N(D164))</f>
        <v/>
      </c>
      <c r="G164" s="27">
        <f>IF(C164="","",C164+N(D164)-F164)</f>
        <v/>
      </c>
      <c r="H164" s="17">
        <f>IF(A164="","",YEAR(A164)*100+MONTH(A164))</f>
        <v/>
      </c>
      <c r="I164" s="9" t="n"/>
    </row>
    <row r="165">
      <c r="A165" s="28" t="n"/>
      <c r="B165" s="9" t="n"/>
      <c r="C165" s="29" t="n"/>
      <c r="D165" s="29" t="n"/>
      <c r="E165" s="14">
        <f>IF(C165="","",'3 Sistema'!$C$6)</f>
        <v/>
      </c>
      <c r="F165" s="27">
        <f>IF(C165="","",C165*E165+N(D165))</f>
        <v/>
      </c>
      <c r="G165" s="27">
        <f>IF(C165="","",C165+N(D165)-F165)</f>
        <v/>
      </c>
      <c r="H165" s="17">
        <f>IF(A165="","",YEAR(A165)*100+MONTH(A165))</f>
        <v/>
      </c>
      <c r="I165" s="9" t="n"/>
    </row>
    <row r="166">
      <c r="A166" s="28" t="n"/>
      <c r="B166" s="9" t="n"/>
      <c r="C166" s="29" t="n"/>
      <c r="D166" s="29" t="n"/>
      <c r="E166" s="14">
        <f>IF(C166="","",'3 Sistema'!$C$6)</f>
        <v/>
      </c>
      <c r="F166" s="27">
        <f>IF(C166="","",C166*E166+N(D166))</f>
        <v/>
      </c>
      <c r="G166" s="27">
        <f>IF(C166="","",C166+N(D166)-F166)</f>
        <v/>
      </c>
      <c r="H166" s="17">
        <f>IF(A166="","",YEAR(A166)*100+MONTH(A166))</f>
        <v/>
      </c>
      <c r="I166" s="9" t="n"/>
    </row>
    <row r="167">
      <c r="A167" s="28" t="n"/>
      <c r="B167" s="9" t="n"/>
      <c r="C167" s="29" t="n"/>
      <c r="D167" s="29" t="n"/>
      <c r="E167" s="14">
        <f>IF(C167="","",'3 Sistema'!$C$6)</f>
        <v/>
      </c>
      <c r="F167" s="27">
        <f>IF(C167="","",C167*E167+N(D167))</f>
        <v/>
      </c>
      <c r="G167" s="27">
        <f>IF(C167="","",C167+N(D167)-F167)</f>
        <v/>
      </c>
      <c r="H167" s="17">
        <f>IF(A167="","",YEAR(A167)*100+MONTH(A167))</f>
        <v/>
      </c>
      <c r="I167" s="9" t="n"/>
    </row>
    <row r="168">
      <c r="A168" s="28" t="n"/>
      <c r="B168" s="9" t="n"/>
      <c r="C168" s="29" t="n"/>
      <c r="D168" s="29" t="n"/>
      <c r="E168" s="14">
        <f>IF(C168="","",'3 Sistema'!$C$6)</f>
        <v/>
      </c>
      <c r="F168" s="27">
        <f>IF(C168="","",C168*E168+N(D168))</f>
        <v/>
      </c>
      <c r="G168" s="27">
        <f>IF(C168="","",C168+N(D168)-F168)</f>
        <v/>
      </c>
      <c r="H168" s="17">
        <f>IF(A168="","",YEAR(A168)*100+MONTH(A168))</f>
        <v/>
      </c>
      <c r="I168" s="9" t="n"/>
    </row>
    <row r="169">
      <c r="A169" s="28" t="n"/>
      <c r="B169" s="9" t="n"/>
      <c r="C169" s="29" t="n"/>
      <c r="D169" s="29" t="n"/>
      <c r="E169" s="14">
        <f>IF(C169="","",'3 Sistema'!$C$6)</f>
        <v/>
      </c>
      <c r="F169" s="27">
        <f>IF(C169="","",C169*E169+N(D169))</f>
        <v/>
      </c>
      <c r="G169" s="27">
        <f>IF(C169="","",C169+N(D169)-F169)</f>
        <v/>
      </c>
      <c r="H169" s="17">
        <f>IF(A169="","",YEAR(A169)*100+MONTH(A169))</f>
        <v/>
      </c>
      <c r="I169" s="9" t="n"/>
    </row>
    <row r="170">
      <c r="A170" s="28" t="n"/>
      <c r="B170" s="9" t="n"/>
      <c r="C170" s="29" t="n"/>
      <c r="D170" s="29" t="n"/>
      <c r="E170" s="14">
        <f>IF(C170="","",'3 Sistema'!$C$6)</f>
        <v/>
      </c>
      <c r="F170" s="27">
        <f>IF(C170="","",C170*E170+N(D170))</f>
        <v/>
      </c>
      <c r="G170" s="27">
        <f>IF(C170="","",C170+N(D170)-F170)</f>
        <v/>
      </c>
      <c r="H170" s="17">
        <f>IF(A170="","",YEAR(A170)*100+MONTH(A170))</f>
        <v/>
      </c>
      <c r="I170" s="9" t="n"/>
    </row>
    <row r="171">
      <c r="A171" s="28" t="n"/>
      <c r="B171" s="9" t="n"/>
      <c r="C171" s="29" t="n"/>
      <c r="D171" s="29" t="n"/>
      <c r="E171" s="14">
        <f>IF(C171="","",'3 Sistema'!$C$6)</f>
        <v/>
      </c>
      <c r="F171" s="27">
        <f>IF(C171="","",C171*E171+N(D171))</f>
        <v/>
      </c>
      <c r="G171" s="27">
        <f>IF(C171="","",C171+N(D171)-F171)</f>
        <v/>
      </c>
      <c r="H171" s="17">
        <f>IF(A171="","",YEAR(A171)*100+MONTH(A171))</f>
        <v/>
      </c>
      <c r="I171" s="9" t="n"/>
    </row>
    <row r="172">
      <c r="A172" s="28" t="n"/>
      <c r="B172" s="9" t="n"/>
      <c r="C172" s="29" t="n"/>
      <c r="D172" s="29" t="n"/>
      <c r="E172" s="14">
        <f>IF(C172="","",'3 Sistema'!$C$6)</f>
        <v/>
      </c>
      <c r="F172" s="27">
        <f>IF(C172="","",C172*E172+N(D172))</f>
        <v/>
      </c>
      <c r="G172" s="27">
        <f>IF(C172="","",C172+N(D172)-F172)</f>
        <v/>
      </c>
      <c r="H172" s="17">
        <f>IF(A172="","",YEAR(A172)*100+MONTH(A172))</f>
        <v/>
      </c>
      <c r="I172" s="9" t="n"/>
    </row>
    <row r="173">
      <c r="A173" s="28" t="n"/>
      <c r="B173" s="9" t="n"/>
      <c r="C173" s="29" t="n"/>
      <c r="D173" s="29" t="n"/>
      <c r="E173" s="14">
        <f>IF(C173="","",'3 Sistema'!$C$6)</f>
        <v/>
      </c>
      <c r="F173" s="27">
        <f>IF(C173="","",C173*E173+N(D173))</f>
        <v/>
      </c>
      <c r="G173" s="27">
        <f>IF(C173="","",C173+N(D173)-F173)</f>
        <v/>
      </c>
      <c r="H173" s="17">
        <f>IF(A173="","",YEAR(A173)*100+MONTH(A173))</f>
        <v/>
      </c>
      <c r="I173" s="9" t="n"/>
    </row>
    <row r="174">
      <c r="A174" s="28" t="n"/>
      <c r="B174" s="9" t="n"/>
      <c r="C174" s="29" t="n"/>
      <c r="D174" s="29" t="n"/>
      <c r="E174" s="14">
        <f>IF(C174="","",'3 Sistema'!$C$6)</f>
        <v/>
      </c>
      <c r="F174" s="27">
        <f>IF(C174="","",C174*E174+N(D174))</f>
        <v/>
      </c>
      <c r="G174" s="27">
        <f>IF(C174="","",C174+N(D174)-F174)</f>
        <v/>
      </c>
      <c r="H174" s="17">
        <f>IF(A174="","",YEAR(A174)*100+MONTH(A174))</f>
        <v/>
      </c>
      <c r="I174" s="9" t="n"/>
    </row>
    <row r="175">
      <c r="A175" s="28" t="n"/>
      <c r="B175" s="9" t="n"/>
      <c r="C175" s="29" t="n"/>
      <c r="D175" s="29" t="n"/>
      <c r="E175" s="14">
        <f>IF(C175="","",'3 Sistema'!$C$6)</f>
        <v/>
      </c>
      <c r="F175" s="27">
        <f>IF(C175="","",C175*E175+N(D175))</f>
        <v/>
      </c>
      <c r="G175" s="27">
        <f>IF(C175="","",C175+N(D175)-F175)</f>
        <v/>
      </c>
      <c r="H175" s="17">
        <f>IF(A175="","",YEAR(A175)*100+MONTH(A175))</f>
        <v/>
      </c>
      <c r="I175" s="9" t="n"/>
    </row>
    <row r="176">
      <c r="A176" s="28" t="n"/>
      <c r="B176" s="9" t="n"/>
      <c r="C176" s="29" t="n"/>
      <c r="D176" s="29" t="n"/>
      <c r="E176" s="14">
        <f>IF(C176="","",'3 Sistema'!$C$6)</f>
        <v/>
      </c>
      <c r="F176" s="27">
        <f>IF(C176="","",C176*E176+N(D176))</f>
        <v/>
      </c>
      <c r="G176" s="27">
        <f>IF(C176="","",C176+N(D176)-F176)</f>
        <v/>
      </c>
      <c r="H176" s="17">
        <f>IF(A176="","",YEAR(A176)*100+MONTH(A176))</f>
        <v/>
      </c>
      <c r="I176" s="9" t="n"/>
    </row>
    <row r="177">
      <c r="A177" s="28" t="n"/>
      <c r="B177" s="9" t="n"/>
      <c r="C177" s="29" t="n"/>
      <c r="D177" s="29" t="n"/>
      <c r="E177" s="14">
        <f>IF(C177="","",'3 Sistema'!$C$6)</f>
        <v/>
      </c>
      <c r="F177" s="27">
        <f>IF(C177="","",C177*E177+N(D177))</f>
        <v/>
      </c>
      <c r="G177" s="27">
        <f>IF(C177="","",C177+N(D177)-F177)</f>
        <v/>
      </c>
      <c r="H177" s="17">
        <f>IF(A177="","",YEAR(A177)*100+MONTH(A177))</f>
        <v/>
      </c>
      <c r="I177" s="9" t="n"/>
    </row>
    <row r="178">
      <c r="A178" s="28" t="n"/>
      <c r="B178" s="9" t="n"/>
      <c r="C178" s="29" t="n"/>
      <c r="D178" s="29" t="n"/>
      <c r="E178" s="14">
        <f>IF(C178="","",'3 Sistema'!$C$6)</f>
        <v/>
      </c>
      <c r="F178" s="27">
        <f>IF(C178="","",C178*E178+N(D178))</f>
        <v/>
      </c>
      <c r="G178" s="27">
        <f>IF(C178="","",C178+N(D178)-F178)</f>
        <v/>
      </c>
      <c r="H178" s="17">
        <f>IF(A178="","",YEAR(A178)*100+MONTH(A178))</f>
        <v/>
      </c>
      <c r="I178" s="9" t="n"/>
    </row>
    <row r="179">
      <c r="A179" s="28" t="n"/>
      <c r="B179" s="9" t="n"/>
      <c r="C179" s="29" t="n"/>
      <c r="D179" s="29" t="n"/>
      <c r="E179" s="14">
        <f>IF(C179="","",'3 Sistema'!$C$6)</f>
        <v/>
      </c>
      <c r="F179" s="27">
        <f>IF(C179="","",C179*E179+N(D179))</f>
        <v/>
      </c>
      <c r="G179" s="27">
        <f>IF(C179="","",C179+N(D179)-F179)</f>
        <v/>
      </c>
      <c r="H179" s="17">
        <f>IF(A179="","",YEAR(A179)*100+MONTH(A179))</f>
        <v/>
      </c>
      <c r="I179" s="9" t="n"/>
    </row>
    <row r="180">
      <c r="A180" s="28" t="n"/>
      <c r="B180" s="9" t="n"/>
      <c r="C180" s="29" t="n"/>
      <c r="D180" s="29" t="n"/>
      <c r="E180" s="14">
        <f>IF(C180="","",'3 Sistema'!$C$6)</f>
        <v/>
      </c>
      <c r="F180" s="27">
        <f>IF(C180="","",C180*E180+N(D180))</f>
        <v/>
      </c>
      <c r="G180" s="27">
        <f>IF(C180="","",C180+N(D180)-F180)</f>
        <v/>
      </c>
      <c r="H180" s="17">
        <f>IF(A180="","",YEAR(A180)*100+MONTH(A180))</f>
        <v/>
      </c>
      <c r="I180" s="9" t="n"/>
    </row>
    <row r="181">
      <c r="A181" s="28" t="n"/>
      <c r="B181" s="9" t="n"/>
      <c r="C181" s="29" t="n"/>
      <c r="D181" s="29" t="n"/>
      <c r="E181" s="14">
        <f>IF(C181="","",'3 Sistema'!$C$6)</f>
        <v/>
      </c>
      <c r="F181" s="27">
        <f>IF(C181="","",C181*E181+N(D181))</f>
        <v/>
      </c>
      <c r="G181" s="27">
        <f>IF(C181="","",C181+N(D181)-F181)</f>
        <v/>
      </c>
      <c r="H181" s="17">
        <f>IF(A181="","",YEAR(A181)*100+MONTH(A181))</f>
        <v/>
      </c>
      <c r="I181" s="9" t="n"/>
    </row>
    <row r="182">
      <c r="A182" s="28" t="n"/>
      <c r="B182" s="9" t="n"/>
      <c r="C182" s="29" t="n"/>
      <c r="D182" s="29" t="n"/>
      <c r="E182" s="14">
        <f>IF(C182="","",'3 Sistema'!$C$6)</f>
        <v/>
      </c>
      <c r="F182" s="27">
        <f>IF(C182="","",C182*E182+N(D182))</f>
        <v/>
      </c>
      <c r="G182" s="27">
        <f>IF(C182="","",C182+N(D182)-F182)</f>
        <v/>
      </c>
      <c r="H182" s="17">
        <f>IF(A182="","",YEAR(A182)*100+MONTH(A182))</f>
        <v/>
      </c>
      <c r="I182" s="9" t="n"/>
    </row>
    <row r="183">
      <c r="A183" s="28" t="n"/>
      <c r="B183" s="9" t="n"/>
      <c r="C183" s="29" t="n"/>
      <c r="D183" s="29" t="n"/>
      <c r="E183" s="14">
        <f>IF(C183="","",'3 Sistema'!$C$6)</f>
        <v/>
      </c>
      <c r="F183" s="27">
        <f>IF(C183="","",C183*E183+N(D183))</f>
        <v/>
      </c>
      <c r="G183" s="27">
        <f>IF(C183="","",C183+N(D183)-F183)</f>
        <v/>
      </c>
      <c r="H183" s="17">
        <f>IF(A183="","",YEAR(A183)*100+MONTH(A183))</f>
        <v/>
      </c>
      <c r="I183" s="9" t="n"/>
    </row>
    <row r="184">
      <c r="A184" s="28" t="n"/>
      <c r="B184" s="9" t="n"/>
      <c r="C184" s="29" t="n"/>
      <c r="D184" s="29" t="n"/>
      <c r="E184" s="14">
        <f>IF(C184="","",'3 Sistema'!$C$6)</f>
        <v/>
      </c>
      <c r="F184" s="27">
        <f>IF(C184="","",C184*E184+N(D184))</f>
        <v/>
      </c>
      <c r="G184" s="27">
        <f>IF(C184="","",C184+N(D184)-F184)</f>
        <v/>
      </c>
      <c r="H184" s="17">
        <f>IF(A184="","",YEAR(A184)*100+MONTH(A184))</f>
        <v/>
      </c>
      <c r="I184" s="9" t="n"/>
    </row>
    <row r="185">
      <c r="A185" s="28" t="n"/>
      <c r="B185" s="9" t="n"/>
      <c r="C185" s="29" t="n"/>
      <c r="D185" s="29" t="n"/>
      <c r="E185" s="14">
        <f>IF(C185="","",'3 Sistema'!$C$6)</f>
        <v/>
      </c>
      <c r="F185" s="27">
        <f>IF(C185="","",C185*E185+N(D185))</f>
        <v/>
      </c>
      <c r="G185" s="27">
        <f>IF(C185="","",C185+N(D185)-F185)</f>
        <v/>
      </c>
      <c r="H185" s="17">
        <f>IF(A185="","",YEAR(A185)*100+MONTH(A185))</f>
        <v/>
      </c>
      <c r="I185" s="9" t="n"/>
    </row>
    <row r="186">
      <c r="A186" s="28" t="n"/>
      <c r="B186" s="9" t="n"/>
      <c r="C186" s="29" t="n"/>
      <c r="D186" s="29" t="n"/>
      <c r="E186" s="14">
        <f>IF(C186="","",'3 Sistema'!$C$6)</f>
        <v/>
      </c>
      <c r="F186" s="27">
        <f>IF(C186="","",C186*E186+N(D186))</f>
        <v/>
      </c>
      <c r="G186" s="27">
        <f>IF(C186="","",C186+N(D186)-F186)</f>
        <v/>
      </c>
      <c r="H186" s="17">
        <f>IF(A186="","",YEAR(A186)*100+MONTH(A186))</f>
        <v/>
      </c>
      <c r="I186" s="9" t="n"/>
    </row>
    <row r="187">
      <c r="A187" s="28" t="n"/>
      <c r="B187" s="9" t="n"/>
      <c r="C187" s="29" t="n"/>
      <c r="D187" s="29" t="n"/>
      <c r="E187" s="14">
        <f>IF(C187="","",'3 Sistema'!$C$6)</f>
        <v/>
      </c>
      <c r="F187" s="27">
        <f>IF(C187="","",C187*E187+N(D187))</f>
        <v/>
      </c>
      <c r="G187" s="27">
        <f>IF(C187="","",C187+N(D187)-F187)</f>
        <v/>
      </c>
      <c r="H187" s="17">
        <f>IF(A187="","",YEAR(A187)*100+MONTH(A187))</f>
        <v/>
      </c>
      <c r="I187" s="9" t="n"/>
    </row>
    <row r="188">
      <c r="A188" s="28" t="n"/>
      <c r="B188" s="9" t="n"/>
      <c r="C188" s="29" t="n"/>
      <c r="D188" s="29" t="n"/>
      <c r="E188" s="14">
        <f>IF(C188="","",'3 Sistema'!$C$6)</f>
        <v/>
      </c>
      <c r="F188" s="27">
        <f>IF(C188="","",C188*E188+N(D188))</f>
        <v/>
      </c>
      <c r="G188" s="27">
        <f>IF(C188="","",C188+N(D188)-F188)</f>
        <v/>
      </c>
      <c r="H188" s="17">
        <f>IF(A188="","",YEAR(A188)*100+MONTH(A188))</f>
        <v/>
      </c>
      <c r="I188" s="9" t="n"/>
    </row>
    <row r="189">
      <c r="A189" s="28" t="n"/>
      <c r="B189" s="9" t="n"/>
      <c r="C189" s="29" t="n"/>
      <c r="D189" s="29" t="n"/>
      <c r="E189" s="14">
        <f>IF(C189="","",'3 Sistema'!$C$6)</f>
        <v/>
      </c>
      <c r="F189" s="27">
        <f>IF(C189="","",C189*E189+N(D189))</f>
        <v/>
      </c>
      <c r="G189" s="27">
        <f>IF(C189="","",C189+N(D189)-F189)</f>
        <v/>
      </c>
      <c r="H189" s="17">
        <f>IF(A189="","",YEAR(A189)*100+MONTH(A189))</f>
        <v/>
      </c>
      <c r="I189" s="9" t="n"/>
    </row>
    <row r="190">
      <c r="A190" s="28" t="n"/>
      <c r="B190" s="9" t="n"/>
      <c r="C190" s="29" t="n"/>
      <c r="D190" s="29" t="n"/>
      <c r="E190" s="14">
        <f>IF(C190="","",'3 Sistema'!$C$6)</f>
        <v/>
      </c>
      <c r="F190" s="27">
        <f>IF(C190="","",C190*E190+N(D190))</f>
        <v/>
      </c>
      <c r="G190" s="27">
        <f>IF(C190="","",C190+N(D190)-F190)</f>
        <v/>
      </c>
      <c r="H190" s="17">
        <f>IF(A190="","",YEAR(A190)*100+MONTH(A190))</f>
        <v/>
      </c>
      <c r="I190" s="9" t="n"/>
    </row>
    <row r="191">
      <c r="A191" s="28" t="n"/>
      <c r="B191" s="9" t="n"/>
      <c r="C191" s="29" t="n"/>
      <c r="D191" s="29" t="n"/>
      <c r="E191" s="14">
        <f>IF(C191="","",'3 Sistema'!$C$6)</f>
        <v/>
      </c>
      <c r="F191" s="27">
        <f>IF(C191="","",C191*E191+N(D191))</f>
        <v/>
      </c>
      <c r="G191" s="27">
        <f>IF(C191="","",C191+N(D191)-F191)</f>
        <v/>
      </c>
      <c r="H191" s="17">
        <f>IF(A191="","",YEAR(A191)*100+MONTH(A191))</f>
        <v/>
      </c>
      <c r="I191" s="9" t="n"/>
    </row>
    <row r="192">
      <c r="A192" s="28" t="n"/>
      <c r="B192" s="9" t="n"/>
      <c r="C192" s="29" t="n"/>
      <c r="D192" s="29" t="n"/>
      <c r="E192" s="14">
        <f>IF(C192="","",'3 Sistema'!$C$6)</f>
        <v/>
      </c>
      <c r="F192" s="27">
        <f>IF(C192="","",C192*E192+N(D192))</f>
        <v/>
      </c>
      <c r="G192" s="27">
        <f>IF(C192="","",C192+N(D192)-F192)</f>
        <v/>
      </c>
      <c r="H192" s="17">
        <f>IF(A192="","",YEAR(A192)*100+MONTH(A192))</f>
        <v/>
      </c>
      <c r="I192" s="9" t="n"/>
    </row>
    <row r="193">
      <c r="A193" s="28" t="n"/>
      <c r="B193" s="9" t="n"/>
      <c r="C193" s="29" t="n"/>
      <c r="D193" s="29" t="n"/>
      <c r="E193" s="14">
        <f>IF(C193="","",'3 Sistema'!$C$6)</f>
        <v/>
      </c>
      <c r="F193" s="27">
        <f>IF(C193="","",C193*E193+N(D193))</f>
        <v/>
      </c>
      <c r="G193" s="27">
        <f>IF(C193="","",C193+N(D193)-F193)</f>
        <v/>
      </c>
      <c r="H193" s="17">
        <f>IF(A193="","",YEAR(A193)*100+MONTH(A193))</f>
        <v/>
      </c>
      <c r="I193" s="9" t="n"/>
    </row>
    <row r="194">
      <c r="A194" s="28" t="n"/>
      <c r="B194" s="9" t="n"/>
      <c r="C194" s="29" t="n"/>
      <c r="D194" s="29" t="n"/>
      <c r="E194" s="14">
        <f>IF(C194="","",'3 Sistema'!$C$6)</f>
        <v/>
      </c>
      <c r="F194" s="27">
        <f>IF(C194="","",C194*E194+N(D194))</f>
        <v/>
      </c>
      <c r="G194" s="27">
        <f>IF(C194="","",C194+N(D194)-F194)</f>
        <v/>
      </c>
      <c r="H194" s="17">
        <f>IF(A194="","",YEAR(A194)*100+MONTH(A194))</f>
        <v/>
      </c>
      <c r="I194" s="9" t="n"/>
    </row>
    <row r="195">
      <c r="A195" s="28" t="n"/>
      <c r="B195" s="9" t="n"/>
      <c r="C195" s="29" t="n"/>
      <c r="D195" s="29" t="n"/>
      <c r="E195" s="14">
        <f>IF(C195="","",'3 Sistema'!$C$6)</f>
        <v/>
      </c>
      <c r="F195" s="27">
        <f>IF(C195="","",C195*E195+N(D195))</f>
        <v/>
      </c>
      <c r="G195" s="27">
        <f>IF(C195="","",C195+N(D195)-F195)</f>
        <v/>
      </c>
      <c r="H195" s="17">
        <f>IF(A195="","",YEAR(A195)*100+MONTH(A195))</f>
        <v/>
      </c>
      <c r="I195" s="9" t="n"/>
    </row>
    <row r="196">
      <c r="A196" s="28" t="n"/>
      <c r="B196" s="9" t="n"/>
      <c r="C196" s="29" t="n"/>
      <c r="D196" s="29" t="n"/>
      <c r="E196" s="14">
        <f>IF(C196="","",'3 Sistema'!$C$6)</f>
        <v/>
      </c>
      <c r="F196" s="27">
        <f>IF(C196="","",C196*E196+N(D196))</f>
        <v/>
      </c>
      <c r="G196" s="27">
        <f>IF(C196="","",C196+N(D196)-F196)</f>
        <v/>
      </c>
      <c r="H196" s="17">
        <f>IF(A196="","",YEAR(A196)*100+MONTH(A196))</f>
        <v/>
      </c>
      <c r="I196" s="9" t="n"/>
    </row>
    <row r="197">
      <c r="A197" s="28" t="n"/>
      <c r="B197" s="9" t="n"/>
      <c r="C197" s="29" t="n"/>
      <c r="D197" s="29" t="n"/>
      <c r="E197" s="14">
        <f>IF(C197="","",'3 Sistema'!$C$6)</f>
        <v/>
      </c>
      <c r="F197" s="27">
        <f>IF(C197="","",C197*E197+N(D197))</f>
        <v/>
      </c>
      <c r="G197" s="27">
        <f>IF(C197="","",C197+N(D197)-F197)</f>
        <v/>
      </c>
      <c r="H197" s="17">
        <f>IF(A197="","",YEAR(A197)*100+MONTH(A197))</f>
        <v/>
      </c>
      <c r="I197" s="9" t="n"/>
    </row>
    <row r="198">
      <c r="A198" s="28" t="n"/>
      <c r="B198" s="9" t="n"/>
      <c r="C198" s="29" t="n"/>
      <c r="D198" s="29" t="n"/>
      <c r="E198" s="14">
        <f>IF(C198="","",'3 Sistema'!$C$6)</f>
        <v/>
      </c>
      <c r="F198" s="27">
        <f>IF(C198="","",C198*E198+N(D198))</f>
        <v/>
      </c>
      <c r="G198" s="27">
        <f>IF(C198="","",C198+N(D198)-F198)</f>
        <v/>
      </c>
      <c r="H198" s="17">
        <f>IF(A198="","",YEAR(A198)*100+MONTH(A198))</f>
        <v/>
      </c>
      <c r="I198" s="9" t="n"/>
    </row>
    <row r="199">
      <c r="A199" s="28" t="n"/>
      <c r="B199" s="9" t="n"/>
      <c r="C199" s="29" t="n"/>
      <c r="D199" s="29" t="n"/>
      <c r="E199" s="14">
        <f>IF(C199="","",'3 Sistema'!$C$6)</f>
        <v/>
      </c>
      <c r="F199" s="27">
        <f>IF(C199="","",C199*E199+N(D199))</f>
        <v/>
      </c>
      <c r="G199" s="27">
        <f>IF(C199="","",C199+N(D199)-F199)</f>
        <v/>
      </c>
      <c r="H199" s="17">
        <f>IF(A199="","",YEAR(A199)*100+MONTH(A199))</f>
        <v/>
      </c>
      <c r="I199" s="9" t="n"/>
    </row>
    <row r="200">
      <c r="A200" s="28" t="n"/>
      <c r="B200" s="9" t="n"/>
      <c r="C200" s="29" t="n"/>
      <c r="D200" s="29" t="n"/>
      <c r="E200" s="14">
        <f>IF(C200="","",'3 Sistema'!$C$6)</f>
        <v/>
      </c>
      <c r="F200" s="27">
        <f>IF(C200="","",C200*E200+N(D200))</f>
        <v/>
      </c>
      <c r="G200" s="27">
        <f>IF(C200="","",C200+N(D200)-F200)</f>
        <v/>
      </c>
      <c r="H200" s="17">
        <f>IF(A200="","",YEAR(A200)*100+MONTH(A200))</f>
        <v/>
      </c>
      <c r="I200" s="9" t="n"/>
    </row>
    <row r="201">
      <c r="A201" s="28" t="n"/>
      <c r="B201" s="9" t="n"/>
      <c r="C201" s="29" t="n"/>
      <c r="D201" s="29" t="n"/>
      <c r="E201" s="14">
        <f>IF(C201="","",'3 Sistema'!$C$6)</f>
        <v/>
      </c>
      <c r="F201" s="27">
        <f>IF(C201="","",C201*E201+N(D201))</f>
        <v/>
      </c>
      <c r="G201" s="27">
        <f>IF(C201="","",C201+N(D201)-F201)</f>
        <v/>
      </c>
      <c r="H201" s="17">
        <f>IF(A201="","",YEAR(A201)*100+MONTH(A201))</f>
        <v/>
      </c>
      <c r="I201" s="9" t="n"/>
    </row>
    <row r="202">
      <c r="A202" s="28" t="n"/>
      <c r="B202" s="9" t="n"/>
      <c r="C202" s="29" t="n"/>
      <c r="D202" s="29" t="n"/>
      <c r="E202" s="14">
        <f>IF(C202="","",'3 Sistema'!$C$6)</f>
        <v/>
      </c>
      <c r="F202" s="27">
        <f>IF(C202="","",C202*E202+N(D202))</f>
        <v/>
      </c>
      <c r="G202" s="27">
        <f>IF(C202="","",C202+N(D202)-F202)</f>
        <v/>
      </c>
      <c r="H202" s="17">
        <f>IF(A202="","",YEAR(A202)*100+MONTH(A202))</f>
        <v/>
      </c>
      <c r="I202" s="9" t="n"/>
    </row>
    <row r="203">
      <c r="A203" s="28" t="n"/>
      <c r="B203" s="9" t="n"/>
      <c r="C203" s="29" t="n"/>
      <c r="D203" s="29" t="n"/>
      <c r="E203" s="14">
        <f>IF(C203="","",'3 Sistema'!$C$6)</f>
        <v/>
      </c>
      <c r="F203" s="27">
        <f>IF(C203="","",C203*E203+N(D203))</f>
        <v/>
      </c>
      <c r="G203" s="27">
        <f>IF(C203="","",C203+N(D203)-F203)</f>
        <v/>
      </c>
      <c r="H203" s="17">
        <f>IF(A203="","",YEAR(A203)*100+MONTH(A203))</f>
        <v/>
      </c>
      <c r="I203" s="9" t="n"/>
    </row>
    <row r="204">
      <c r="A204" s="28" t="n"/>
      <c r="B204" s="9" t="n"/>
      <c r="C204" s="29" t="n"/>
      <c r="D204" s="29" t="n"/>
      <c r="E204" s="14">
        <f>IF(C204="","",'3 Sistema'!$C$6)</f>
        <v/>
      </c>
      <c r="F204" s="27">
        <f>IF(C204="","",C204*E204+N(D204))</f>
        <v/>
      </c>
      <c r="G204" s="27">
        <f>IF(C204="","",C204+N(D204)-F204)</f>
        <v/>
      </c>
      <c r="H204" s="17">
        <f>IF(A204="","",YEAR(A204)*100+MONTH(A204))</f>
        <v/>
      </c>
      <c r="I204" s="9" t="n"/>
    </row>
    <row r="205">
      <c r="A205" s="28" t="n"/>
      <c r="B205" s="9" t="n"/>
      <c r="C205" s="29" t="n"/>
      <c r="D205" s="29" t="n"/>
      <c r="E205" s="14">
        <f>IF(C205="","",'3 Sistema'!$C$6)</f>
        <v/>
      </c>
      <c r="F205" s="27">
        <f>IF(C205="","",C205*E205+N(D205))</f>
        <v/>
      </c>
      <c r="G205" s="27">
        <f>IF(C205="","",C205+N(D205)-F205)</f>
        <v/>
      </c>
      <c r="H205" s="17">
        <f>IF(A205="","",YEAR(A205)*100+MONTH(A205))</f>
        <v/>
      </c>
      <c r="I205" s="9" t="n"/>
    </row>
    <row r="206">
      <c r="A206" s="28" t="n"/>
      <c r="B206" s="9" t="n"/>
      <c r="C206" s="29" t="n"/>
      <c r="D206" s="29" t="n"/>
      <c r="E206" s="14">
        <f>IF(C206="","",'3 Sistema'!$C$6)</f>
        <v/>
      </c>
      <c r="F206" s="27">
        <f>IF(C206="","",C206*E206+N(D206))</f>
        <v/>
      </c>
      <c r="G206" s="27">
        <f>IF(C206="","",C206+N(D206)-F206)</f>
        <v/>
      </c>
      <c r="H206" s="17">
        <f>IF(A206="","",YEAR(A206)*100+MONTH(A206))</f>
        <v/>
      </c>
      <c r="I206" s="9" t="n"/>
    </row>
    <row r="207">
      <c r="A207" s="28" t="n"/>
      <c r="B207" s="9" t="n"/>
      <c r="C207" s="29" t="n"/>
      <c r="D207" s="29" t="n"/>
      <c r="E207" s="14">
        <f>IF(C207="","",'3 Sistema'!$C$6)</f>
        <v/>
      </c>
      <c r="F207" s="27">
        <f>IF(C207="","",C207*E207+N(D207))</f>
        <v/>
      </c>
      <c r="G207" s="27">
        <f>IF(C207="","",C207+N(D207)-F207)</f>
        <v/>
      </c>
      <c r="H207" s="17">
        <f>IF(A207="","",YEAR(A207)*100+MONTH(A207))</f>
        <v/>
      </c>
      <c r="I207" s="9" t="n"/>
    </row>
    <row r="208">
      <c r="A208" s="28" t="n"/>
      <c r="B208" s="9" t="n"/>
      <c r="C208" s="29" t="n"/>
      <c r="D208" s="29" t="n"/>
      <c r="E208" s="14">
        <f>IF(C208="","",'3 Sistema'!$C$6)</f>
        <v/>
      </c>
      <c r="F208" s="27">
        <f>IF(C208="","",C208*E208+N(D208))</f>
        <v/>
      </c>
      <c r="G208" s="27">
        <f>IF(C208="","",C208+N(D208)-F208)</f>
        <v/>
      </c>
      <c r="H208" s="17">
        <f>IF(A208="","",YEAR(A208)*100+MONTH(A208))</f>
        <v/>
      </c>
      <c r="I208" s="9" t="n"/>
    </row>
    <row r="209">
      <c r="A209" s="28" t="n"/>
      <c r="B209" s="9" t="n"/>
      <c r="C209" s="29" t="n"/>
      <c r="D209" s="29" t="n"/>
      <c r="E209" s="14">
        <f>IF(C209="","",'3 Sistema'!$C$6)</f>
        <v/>
      </c>
      <c r="F209" s="27">
        <f>IF(C209="","",C209*E209+N(D209))</f>
        <v/>
      </c>
      <c r="G209" s="27">
        <f>IF(C209="","",C209+N(D209)-F209)</f>
        <v/>
      </c>
      <c r="H209" s="17">
        <f>IF(A209="","",YEAR(A209)*100+MONTH(A209))</f>
        <v/>
      </c>
      <c r="I209" s="9" t="n"/>
    </row>
    <row r="210">
      <c r="A210" s="28" t="n"/>
      <c r="B210" s="9" t="n"/>
      <c r="C210" s="29" t="n"/>
      <c r="D210" s="29" t="n"/>
      <c r="E210" s="14">
        <f>IF(C210="","",'3 Sistema'!$C$6)</f>
        <v/>
      </c>
      <c r="F210" s="27">
        <f>IF(C210="","",C210*E210+N(D210))</f>
        <v/>
      </c>
      <c r="G210" s="27">
        <f>IF(C210="","",C210+N(D210)-F210)</f>
        <v/>
      </c>
      <c r="H210" s="17">
        <f>IF(A210="","",YEAR(A210)*100+MONTH(A210))</f>
        <v/>
      </c>
      <c r="I210" s="9" t="n"/>
    </row>
    <row r="211">
      <c r="A211" s="28" t="n"/>
      <c r="B211" s="9" t="n"/>
      <c r="C211" s="29" t="n"/>
      <c r="D211" s="29" t="n"/>
      <c r="E211" s="14">
        <f>IF(C211="","",'3 Sistema'!$C$6)</f>
        <v/>
      </c>
      <c r="F211" s="27">
        <f>IF(C211="","",C211*E211+N(D211))</f>
        <v/>
      </c>
      <c r="G211" s="27">
        <f>IF(C211="","",C211+N(D211)-F211)</f>
        <v/>
      </c>
      <c r="H211" s="17">
        <f>IF(A211="","",YEAR(A211)*100+MONTH(A211))</f>
        <v/>
      </c>
      <c r="I211" s="9" t="n"/>
    </row>
    <row r="212">
      <c r="A212" s="28" t="n"/>
      <c r="B212" s="9" t="n"/>
      <c r="C212" s="29" t="n"/>
      <c r="D212" s="29" t="n"/>
      <c r="E212" s="14">
        <f>IF(C212="","",'3 Sistema'!$C$6)</f>
        <v/>
      </c>
      <c r="F212" s="27">
        <f>IF(C212="","",C212*E212+N(D212))</f>
        <v/>
      </c>
      <c r="G212" s="27">
        <f>IF(C212="","",C212+N(D212)-F212)</f>
        <v/>
      </c>
      <c r="H212" s="17">
        <f>IF(A212="","",YEAR(A212)*100+MONTH(A212))</f>
        <v/>
      </c>
      <c r="I212" s="9" t="n"/>
    </row>
    <row r="213">
      <c r="A213" s="28" t="n"/>
      <c r="B213" s="9" t="n"/>
      <c r="C213" s="29" t="n"/>
      <c r="D213" s="29" t="n"/>
      <c r="E213" s="14">
        <f>IF(C213="","",'3 Sistema'!$C$6)</f>
        <v/>
      </c>
      <c r="F213" s="27">
        <f>IF(C213="","",C213*E213+N(D213))</f>
        <v/>
      </c>
      <c r="G213" s="27">
        <f>IF(C213="","",C213+N(D213)-F213)</f>
        <v/>
      </c>
      <c r="H213" s="17">
        <f>IF(A213="","",YEAR(A213)*100+MONTH(A213))</f>
        <v/>
      </c>
      <c r="I213" s="9" t="n"/>
    </row>
    <row r="214">
      <c r="A214" s="28" t="n"/>
      <c r="B214" s="9" t="n"/>
      <c r="C214" s="29" t="n"/>
      <c r="D214" s="29" t="n"/>
      <c r="E214" s="14">
        <f>IF(C214="","",'3 Sistema'!$C$6)</f>
        <v/>
      </c>
      <c r="F214" s="27">
        <f>IF(C214="","",C214*E214+N(D214))</f>
        <v/>
      </c>
      <c r="G214" s="27">
        <f>IF(C214="","",C214+N(D214)-F214)</f>
        <v/>
      </c>
      <c r="H214" s="17">
        <f>IF(A214="","",YEAR(A214)*100+MONTH(A214))</f>
        <v/>
      </c>
      <c r="I214" s="9" t="n"/>
    </row>
    <row r="215">
      <c r="A215" s="28" t="n"/>
      <c r="B215" s="9" t="n"/>
      <c r="C215" s="29" t="n"/>
      <c r="D215" s="29" t="n"/>
      <c r="E215" s="14">
        <f>IF(C215="","",'3 Sistema'!$C$6)</f>
        <v/>
      </c>
      <c r="F215" s="27">
        <f>IF(C215="","",C215*E215+N(D215))</f>
        <v/>
      </c>
      <c r="G215" s="27">
        <f>IF(C215="","",C215+N(D215)-F215)</f>
        <v/>
      </c>
      <c r="H215" s="17">
        <f>IF(A215="","",YEAR(A215)*100+MONTH(A215))</f>
        <v/>
      </c>
      <c r="I215" s="9" t="n"/>
    </row>
    <row r="216">
      <c r="A216" s="28" t="n"/>
      <c r="B216" s="9" t="n"/>
      <c r="C216" s="29" t="n"/>
      <c r="D216" s="29" t="n"/>
      <c r="E216" s="14">
        <f>IF(C216="","",'3 Sistema'!$C$6)</f>
        <v/>
      </c>
      <c r="F216" s="27">
        <f>IF(C216="","",C216*E216+N(D216))</f>
        <v/>
      </c>
      <c r="G216" s="27">
        <f>IF(C216="","",C216+N(D216)-F216)</f>
        <v/>
      </c>
      <c r="H216" s="17">
        <f>IF(A216="","",YEAR(A216)*100+MONTH(A216))</f>
        <v/>
      </c>
      <c r="I216" s="9" t="n"/>
    </row>
    <row r="217">
      <c r="A217" s="28" t="n"/>
      <c r="B217" s="9" t="n"/>
      <c r="C217" s="29" t="n"/>
      <c r="D217" s="29" t="n"/>
      <c r="E217" s="14">
        <f>IF(C217="","",'3 Sistema'!$C$6)</f>
        <v/>
      </c>
      <c r="F217" s="27">
        <f>IF(C217="","",C217*E217+N(D217))</f>
        <v/>
      </c>
      <c r="G217" s="27">
        <f>IF(C217="","",C217+N(D217)-F217)</f>
        <v/>
      </c>
      <c r="H217" s="17">
        <f>IF(A217="","",YEAR(A217)*100+MONTH(A217))</f>
        <v/>
      </c>
      <c r="I217" s="9" t="n"/>
    </row>
    <row r="218">
      <c r="A218" s="28" t="n"/>
      <c r="B218" s="9" t="n"/>
      <c r="C218" s="29" t="n"/>
      <c r="D218" s="29" t="n"/>
      <c r="E218" s="14">
        <f>IF(C218="","",'3 Sistema'!$C$6)</f>
        <v/>
      </c>
      <c r="F218" s="27">
        <f>IF(C218="","",C218*E218+N(D218))</f>
        <v/>
      </c>
      <c r="G218" s="27">
        <f>IF(C218="","",C218+N(D218)-F218)</f>
        <v/>
      </c>
      <c r="H218" s="17">
        <f>IF(A218="","",YEAR(A218)*100+MONTH(A218))</f>
        <v/>
      </c>
      <c r="I218" s="9" t="n"/>
    </row>
    <row r="219">
      <c r="A219" s="28" t="n"/>
      <c r="B219" s="9" t="n"/>
      <c r="C219" s="29" t="n"/>
      <c r="D219" s="29" t="n"/>
      <c r="E219" s="14">
        <f>IF(C219="","",'3 Sistema'!$C$6)</f>
        <v/>
      </c>
      <c r="F219" s="27">
        <f>IF(C219="","",C219*E219+N(D219))</f>
        <v/>
      </c>
      <c r="G219" s="27">
        <f>IF(C219="","",C219+N(D219)-F219)</f>
        <v/>
      </c>
      <c r="H219" s="17">
        <f>IF(A219="","",YEAR(A219)*100+MONTH(A219))</f>
        <v/>
      </c>
      <c r="I219" s="9" t="n"/>
    </row>
    <row r="220">
      <c r="A220" s="28" t="n"/>
      <c r="B220" s="9" t="n"/>
      <c r="C220" s="29" t="n"/>
      <c r="D220" s="29" t="n"/>
      <c r="E220" s="14">
        <f>IF(C220="","",'3 Sistema'!$C$6)</f>
        <v/>
      </c>
      <c r="F220" s="27">
        <f>IF(C220="","",C220*E220+N(D220))</f>
        <v/>
      </c>
      <c r="G220" s="27">
        <f>IF(C220="","",C220+N(D220)-F220)</f>
        <v/>
      </c>
      <c r="H220" s="17">
        <f>IF(A220="","",YEAR(A220)*100+MONTH(A220))</f>
        <v/>
      </c>
      <c r="I220" s="9" t="n"/>
    </row>
    <row r="221">
      <c r="A221" s="28" t="n"/>
      <c r="B221" s="9" t="n"/>
      <c r="C221" s="29" t="n"/>
      <c r="D221" s="29" t="n"/>
      <c r="E221" s="14">
        <f>IF(C221="","",'3 Sistema'!$C$6)</f>
        <v/>
      </c>
      <c r="F221" s="27">
        <f>IF(C221="","",C221*E221+N(D221))</f>
        <v/>
      </c>
      <c r="G221" s="27">
        <f>IF(C221="","",C221+N(D221)-F221)</f>
        <v/>
      </c>
      <c r="H221" s="17">
        <f>IF(A221="","",YEAR(A221)*100+MONTH(A221))</f>
        <v/>
      </c>
      <c r="I221" s="9" t="n"/>
    </row>
    <row r="222">
      <c r="A222" s="28" t="n"/>
      <c r="B222" s="9" t="n"/>
      <c r="C222" s="29" t="n"/>
      <c r="D222" s="29" t="n"/>
      <c r="E222" s="14">
        <f>IF(C222="","",'3 Sistema'!$C$6)</f>
        <v/>
      </c>
      <c r="F222" s="27">
        <f>IF(C222="","",C222*E222+N(D222))</f>
        <v/>
      </c>
      <c r="G222" s="27">
        <f>IF(C222="","",C222+N(D222)-F222)</f>
        <v/>
      </c>
      <c r="H222" s="17">
        <f>IF(A222="","",YEAR(A222)*100+MONTH(A222))</f>
        <v/>
      </c>
      <c r="I222" s="9" t="n"/>
    </row>
    <row r="223">
      <c r="A223" s="28" t="n"/>
      <c r="B223" s="9" t="n"/>
      <c r="C223" s="29" t="n"/>
      <c r="D223" s="29" t="n"/>
      <c r="E223" s="14">
        <f>IF(C223="","",'3 Sistema'!$C$6)</f>
        <v/>
      </c>
      <c r="F223" s="27">
        <f>IF(C223="","",C223*E223+N(D223))</f>
        <v/>
      </c>
      <c r="G223" s="27">
        <f>IF(C223="","",C223+N(D223)-F223)</f>
        <v/>
      </c>
      <c r="H223" s="17">
        <f>IF(A223="","",YEAR(A223)*100+MONTH(A223))</f>
        <v/>
      </c>
      <c r="I223" s="9" t="n"/>
    </row>
    <row r="224">
      <c r="A224" s="28" t="n"/>
      <c r="B224" s="9" t="n"/>
      <c r="C224" s="29" t="n"/>
      <c r="D224" s="29" t="n"/>
      <c r="E224" s="14">
        <f>IF(C224="","",'3 Sistema'!$C$6)</f>
        <v/>
      </c>
      <c r="F224" s="27">
        <f>IF(C224="","",C224*E224+N(D224))</f>
        <v/>
      </c>
      <c r="G224" s="27">
        <f>IF(C224="","",C224+N(D224)-F224)</f>
        <v/>
      </c>
      <c r="H224" s="17">
        <f>IF(A224="","",YEAR(A224)*100+MONTH(A224))</f>
        <v/>
      </c>
      <c r="I224" s="9" t="n"/>
    </row>
    <row r="225">
      <c r="A225" s="28" t="n"/>
      <c r="B225" s="9" t="n"/>
      <c r="C225" s="29" t="n"/>
      <c r="D225" s="29" t="n"/>
      <c r="E225" s="14">
        <f>IF(C225="","",'3 Sistema'!$C$6)</f>
        <v/>
      </c>
      <c r="F225" s="27">
        <f>IF(C225="","",C225*E225+N(D225))</f>
        <v/>
      </c>
      <c r="G225" s="27">
        <f>IF(C225="","",C225+N(D225)-F225)</f>
        <v/>
      </c>
      <c r="H225" s="17">
        <f>IF(A225="","",YEAR(A225)*100+MONTH(A225))</f>
        <v/>
      </c>
      <c r="I225" s="9" t="n"/>
    </row>
    <row r="226">
      <c r="A226" s="28" t="n"/>
      <c r="B226" s="9" t="n"/>
      <c r="C226" s="29" t="n"/>
      <c r="D226" s="29" t="n"/>
      <c r="E226" s="14">
        <f>IF(C226="","",'3 Sistema'!$C$6)</f>
        <v/>
      </c>
      <c r="F226" s="27">
        <f>IF(C226="","",C226*E226+N(D226))</f>
        <v/>
      </c>
      <c r="G226" s="27">
        <f>IF(C226="","",C226+N(D226)-F226)</f>
        <v/>
      </c>
      <c r="H226" s="17">
        <f>IF(A226="","",YEAR(A226)*100+MONTH(A226))</f>
        <v/>
      </c>
      <c r="I226" s="9" t="n"/>
    </row>
    <row r="227">
      <c r="A227" s="28" t="n"/>
      <c r="B227" s="9" t="n"/>
      <c r="C227" s="29" t="n"/>
      <c r="D227" s="29" t="n"/>
      <c r="E227" s="14">
        <f>IF(C227="","",'3 Sistema'!$C$6)</f>
        <v/>
      </c>
      <c r="F227" s="27">
        <f>IF(C227="","",C227*E227+N(D227))</f>
        <v/>
      </c>
      <c r="G227" s="27">
        <f>IF(C227="","",C227+N(D227)-F227)</f>
        <v/>
      </c>
      <c r="H227" s="17">
        <f>IF(A227="","",YEAR(A227)*100+MONTH(A227))</f>
        <v/>
      </c>
      <c r="I227" s="9" t="n"/>
    </row>
    <row r="228">
      <c r="A228" s="28" t="n"/>
      <c r="B228" s="9" t="n"/>
      <c r="C228" s="29" t="n"/>
      <c r="D228" s="29" t="n"/>
      <c r="E228" s="14">
        <f>IF(C228="","",'3 Sistema'!$C$6)</f>
        <v/>
      </c>
      <c r="F228" s="27">
        <f>IF(C228="","",C228*E228+N(D228))</f>
        <v/>
      </c>
      <c r="G228" s="27">
        <f>IF(C228="","",C228+N(D228)-F228)</f>
        <v/>
      </c>
      <c r="H228" s="17">
        <f>IF(A228="","",YEAR(A228)*100+MONTH(A228))</f>
        <v/>
      </c>
      <c r="I228" s="9" t="n"/>
    </row>
    <row r="229">
      <c r="A229" s="28" t="n"/>
      <c r="B229" s="9" t="n"/>
      <c r="C229" s="29" t="n"/>
      <c r="D229" s="29" t="n"/>
      <c r="E229" s="14">
        <f>IF(C229="","",'3 Sistema'!$C$6)</f>
        <v/>
      </c>
      <c r="F229" s="27">
        <f>IF(C229="","",C229*E229+N(D229))</f>
        <v/>
      </c>
      <c r="G229" s="27">
        <f>IF(C229="","",C229+N(D229)-F229)</f>
        <v/>
      </c>
      <c r="H229" s="17">
        <f>IF(A229="","",YEAR(A229)*100+MONTH(A229))</f>
        <v/>
      </c>
      <c r="I229" s="9" t="n"/>
    </row>
    <row r="230">
      <c r="A230" s="28" t="n"/>
      <c r="B230" s="9" t="n"/>
      <c r="C230" s="29" t="n"/>
      <c r="D230" s="29" t="n"/>
      <c r="E230" s="14">
        <f>IF(C230="","",'3 Sistema'!$C$6)</f>
        <v/>
      </c>
      <c r="F230" s="27">
        <f>IF(C230="","",C230*E230+N(D230))</f>
        <v/>
      </c>
      <c r="G230" s="27">
        <f>IF(C230="","",C230+N(D230)-F230)</f>
        <v/>
      </c>
      <c r="H230" s="17">
        <f>IF(A230="","",YEAR(A230)*100+MONTH(A230))</f>
        <v/>
      </c>
      <c r="I230" s="9" t="n"/>
    </row>
    <row r="231">
      <c r="A231" s="28" t="n"/>
      <c r="B231" s="9" t="n"/>
      <c r="C231" s="29" t="n"/>
      <c r="D231" s="29" t="n"/>
      <c r="E231" s="14">
        <f>IF(C231="","",'3 Sistema'!$C$6)</f>
        <v/>
      </c>
      <c r="F231" s="27">
        <f>IF(C231="","",C231*E231+N(D231))</f>
        <v/>
      </c>
      <c r="G231" s="27">
        <f>IF(C231="","",C231+N(D231)-F231)</f>
        <v/>
      </c>
      <c r="H231" s="17">
        <f>IF(A231="","",YEAR(A231)*100+MONTH(A231))</f>
        <v/>
      </c>
      <c r="I231" s="9" t="n"/>
    </row>
    <row r="232">
      <c r="A232" s="28" t="n"/>
      <c r="B232" s="9" t="n"/>
      <c r="C232" s="29" t="n"/>
      <c r="D232" s="29" t="n"/>
      <c r="E232" s="14">
        <f>IF(C232="","",'3 Sistema'!$C$6)</f>
        <v/>
      </c>
      <c r="F232" s="27">
        <f>IF(C232="","",C232*E232+N(D232))</f>
        <v/>
      </c>
      <c r="G232" s="27">
        <f>IF(C232="","",C232+N(D232)-F232)</f>
        <v/>
      </c>
      <c r="H232" s="17">
        <f>IF(A232="","",YEAR(A232)*100+MONTH(A232))</f>
        <v/>
      </c>
      <c r="I232" s="9" t="n"/>
    </row>
    <row r="233">
      <c r="A233" s="28" t="n"/>
      <c r="B233" s="9" t="n"/>
      <c r="C233" s="29" t="n"/>
      <c r="D233" s="29" t="n"/>
      <c r="E233" s="14">
        <f>IF(C233="","",'3 Sistema'!$C$6)</f>
        <v/>
      </c>
      <c r="F233" s="27">
        <f>IF(C233="","",C233*E233+N(D233))</f>
        <v/>
      </c>
      <c r="G233" s="27">
        <f>IF(C233="","",C233+N(D233)-F233)</f>
        <v/>
      </c>
      <c r="H233" s="17">
        <f>IF(A233="","",YEAR(A233)*100+MONTH(A233))</f>
        <v/>
      </c>
      <c r="I233" s="9" t="n"/>
    </row>
    <row r="234">
      <c r="A234" s="28" t="n"/>
      <c r="B234" s="9" t="n"/>
      <c r="C234" s="29" t="n"/>
      <c r="D234" s="29" t="n"/>
      <c r="E234" s="14">
        <f>IF(C234="","",'3 Sistema'!$C$6)</f>
        <v/>
      </c>
      <c r="F234" s="27">
        <f>IF(C234="","",C234*E234+N(D234))</f>
        <v/>
      </c>
      <c r="G234" s="27">
        <f>IF(C234="","",C234+N(D234)-F234)</f>
        <v/>
      </c>
      <c r="H234" s="17">
        <f>IF(A234="","",YEAR(A234)*100+MONTH(A234))</f>
        <v/>
      </c>
      <c r="I234" s="9" t="n"/>
    </row>
    <row r="235">
      <c r="A235" s="28" t="n"/>
      <c r="B235" s="9" t="n"/>
      <c r="C235" s="29" t="n"/>
      <c r="D235" s="29" t="n"/>
      <c r="E235" s="14">
        <f>IF(C235="","",'3 Sistema'!$C$6)</f>
        <v/>
      </c>
      <c r="F235" s="27">
        <f>IF(C235="","",C235*E235+N(D235))</f>
        <v/>
      </c>
      <c r="G235" s="27">
        <f>IF(C235="","",C235+N(D235)-F235)</f>
        <v/>
      </c>
      <c r="H235" s="17">
        <f>IF(A235="","",YEAR(A235)*100+MONTH(A235))</f>
        <v/>
      </c>
      <c r="I235" s="9" t="n"/>
    </row>
    <row r="236">
      <c r="A236" s="28" t="n"/>
      <c r="B236" s="9" t="n"/>
      <c r="C236" s="29" t="n"/>
      <c r="D236" s="29" t="n"/>
      <c r="E236" s="14">
        <f>IF(C236="","",'3 Sistema'!$C$6)</f>
        <v/>
      </c>
      <c r="F236" s="27">
        <f>IF(C236="","",C236*E236+N(D236))</f>
        <v/>
      </c>
      <c r="G236" s="27">
        <f>IF(C236="","",C236+N(D236)-F236)</f>
        <v/>
      </c>
      <c r="H236" s="17">
        <f>IF(A236="","",YEAR(A236)*100+MONTH(A236))</f>
        <v/>
      </c>
      <c r="I236" s="9" t="n"/>
    </row>
    <row r="237">
      <c r="A237" s="28" t="n"/>
      <c r="B237" s="9" t="n"/>
      <c r="C237" s="29" t="n"/>
      <c r="D237" s="29" t="n"/>
      <c r="E237" s="14">
        <f>IF(C237="","",'3 Sistema'!$C$6)</f>
        <v/>
      </c>
      <c r="F237" s="27">
        <f>IF(C237="","",C237*E237+N(D237))</f>
        <v/>
      </c>
      <c r="G237" s="27">
        <f>IF(C237="","",C237+N(D237)-F237)</f>
        <v/>
      </c>
      <c r="H237" s="17">
        <f>IF(A237="","",YEAR(A237)*100+MONTH(A237))</f>
        <v/>
      </c>
      <c r="I237" s="9" t="n"/>
    </row>
    <row r="238">
      <c r="A238" s="28" t="n"/>
      <c r="B238" s="9" t="n"/>
      <c r="C238" s="29" t="n"/>
      <c r="D238" s="29" t="n"/>
      <c r="E238" s="14">
        <f>IF(C238="","",'3 Sistema'!$C$6)</f>
        <v/>
      </c>
      <c r="F238" s="27">
        <f>IF(C238="","",C238*E238+N(D238))</f>
        <v/>
      </c>
      <c r="G238" s="27">
        <f>IF(C238="","",C238+N(D238)-F238)</f>
        <v/>
      </c>
      <c r="H238" s="17">
        <f>IF(A238="","",YEAR(A238)*100+MONTH(A238))</f>
        <v/>
      </c>
      <c r="I238" s="9" t="n"/>
    </row>
    <row r="239">
      <c r="A239" s="28" t="n"/>
      <c r="B239" s="9" t="n"/>
      <c r="C239" s="29" t="n"/>
      <c r="D239" s="29" t="n"/>
      <c r="E239" s="14">
        <f>IF(C239="","",'3 Sistema'!$C$6)</f>
        <v/>
      </c>
      <c r="F239" s="27">
        <f>IF(C239="","",C239*E239+N(D239))</f>
        <v/>
      </c>
      <c r="G239" s="27">
        <f>IF(C239="","",C239+N(D239)-F239)</f>
        <v/>
      </c>
      <c r="H239" s="17">
        <f>IF(A239="","",YEAR(A239)*100+MONTH(A239))</f>
        <v/>
      </c>
      <c r="I239" s="9" t="n"/>
    </row>
    <row r="240">
      <c r="A240" s="28" t="n"/>
      <c r="B240" s="9" t="n"/>
      <c r="C240" s="29" t="n"/>
      <c r="D240" s="29" t="n"/>
      <c r="E240" s="14">
        <f>IF(C240="","",'3 Sistema'!$C$6)</f>
        <v/>
      </c>
      <c r="F240" s="27">
        <f>IF(C240="","",C240*E240+N(D240))</f>
        <v/>
      </c>
      <c r="G240" s="27">
        <f>IF(C240="","",C240+N(D240)-F240)</f>
        <v/>
      </c>
      <c r="H240" s="17">
        <f>IF(A240="","",YEAR(A240)*100+MONTH(A240))</f>
        <v/>
      </c>
      <c r="I240" s="9" t="n"/>
    </row>
    <row r="241">
      <c r="A241" s="28" t="n"/>
      <c r="B241" s="9" t="n"/>
      <c r="C241" s="29" t="n"/>
      <c r="D241" s="29" t="n"/>
      <c r="E241" s="14">
        <f>IF(C241="","",'3 Sistema'!$C$6)</f>
        <v/>
      </c>
      <c r="F241" s="27">
        <f>IF(C241="","",C241*E241+N(D241))</f>
        <v/>
      </c>
      <c r="G241" s="27">
        <f>IF(C241="","",C241+N(D241)-F241)</f>
        <v/>
      </c>
      <c r="H241" s="17">
        <f>IF(A241="","",YEAR(A241)*100+MONTH(A241))</f>
        <v/>
      </c>
      <c r="I241" s="9" t="n"/>
    </row>
    <row r="242">
      <c r="A242" s="28" t="n"/>
      <c r="B242" s="9" t="n"/>
      <c r="C242" s="29" t="n"/>
      <c r="D242" s="29" t="n"/>
      <c r="E242" s="14">
        <f>IF(C242="","",'3 Sistema'!$C$6)</f>
        <v/>
      </c>
      <c r="F242" s="27">
        <f>IF(C242="","",C242*E242+N(D242))</f>
        <v/>
      </c>
      <c r="G242" s="27">
        <f>IF(C242="","",C242+N(D242)-F242)</f>
        <v/>
      </c>
      <c r="H242" s="17">
        <f>IF(A242="","",YEAR(A242)*100+MONTH(A242))</f>
        <v/>
      </c>
      <c r="I242" s="9" t="n"/>
    </row>
    <row r="243">
      <c r="A243" s="28" t="n"/>
      <c r="B243" s="9" t="n"/>
      <c r="C243" s="29" t="n"/>
      <c r="D243" s="29" t="n"/>
      <c r="E243" s="14">
        <f>IF(C243="","",'3 Sistema'!$C$6)</f>
        <v/>
      </c>
      <c r="F243" s="27">
        <f>IF(C243="","",C243*E243+N(D243))</f>
        <v/>
      </c>
      <c r="G243" s="27">
        <f>IF(C243="","",C243+N(D243)-F243)</f>
        <v/>
      </c>
      <c r="H243" s="17">
        <f>IF(A243="","",YEAR(A243)*100+MONTH(A243))</f>
        <v/>
      </c>
      <c r="I243" s="9" t="n"/>
    </row>
    <row r="244">
      <c r="A244" s="28" t="n"/>
      <c r="B244" s="9" t="n"/>
      <c r="C244" s="29" t="n"/>
      <c r="D244" s="29" t="n"/>
      <c r="E244" s="14">
        <f>IF(C244="","",'3 Sistema'!$C$6)</f>
        <v/>
      </c>
      <c r="F244" s="27">
        <f>IF(C244="","",C244*E244+N(D244))</f>
        <v/>
      </c>
      <c r="G244" s="27">
        <f>IF(C244="","",C244+N(D244)-F244)</f>
        <v/>
      </c>
      <c r="H244" s="17">
        <f>IF(A244="","",YEAR(A244)*100+MONTH(A244))</f>
        <v/>
      </c>
      <c r="I244" s="9" t="n"/>
    </row>
    <row r="245">
      <c r="A245" s="28" t="n"/>
      <c r="B245" s="9" t="n"/>
      <c r="C245" s="29" t="n"/>
      <c r="D245" s="29" t="n"/>
      <c r="E245" s="14">
        <f>IF(C245="","",'3 Sistema'!$C$6)</f>
        <v/>
      </c>
      <c r="F245" s="27">
        <f>IF(C245="","",C245*E245+N(D245))</f>
        <v/>
      </c>
      <c r="G245" s="27">
        <f>IF(C245="","",C245+N(D245)-F245)</f>
        <v/>
      </c>
      <c r="H245" s="17">
        <f>IF(A245="","",YEAR(A245)*100+MONTH(A245))</f>
        <v/>
      </c>
      <c r="I245" s="9" t="n"/>
    </row>
    <row r="246">
      <c r="A246" s="28" t="n"/>
      <c r="B246" s="9" t="n"/>
      <c r="C246" s="29" t="n"/>
      <c r="D246" s="29" t="n"/>
      <c r="E246" s="14">
        <f>IF(C246="","",'3 Sistema'!$C$6)</f>
        <v/>
      </c>
      <c r="F246" s="27">
        <f>IF(C246="","",C246*E246+N(D246))</f>
        <v/>
      </c>
      <c r="G246" s="27">
        <f>IF(C246="","",C246+N(D246)-F246)</f>
        <v/>
      </c>
      <c r="H246" s="17">
        <f>IF(A246="","",YEAR(A246)*100+MONTH(A246))</f>
        <v/>
      </c>
      <c r="I246" s="9" t="n"/>
    </row>
    <row r="247">
      <c r="A247" s="28" t="n"/>
      <c r="B247" s="9" t="n"/>
      <c r="C247" s="29" t="n"/>
      <c r="D247" s="29" t="n"/>
      <c r="E247" s="14">
        <f>IF(C247="","",'3 Sistema'!$C$6)</f>
        <v/>
      </c>
      <c r="F247" s="27">
        <f>IF(C247="","",C247*E247+N(D247))</f>
        <v/>
      </c>
      <c r="G247" s="27">
        <f>IF(C247="","",C247+N(D247)-F247)</f>
        <v/>
      </c>
      <c r="H247" s="17">
        <f>IF(A247="","",YEAR(A247)*100+MONTH(A247))</f>
        <v/>
      </c>
      <c r="I247" s="9" t="n"/>
    </row>
    <row r="248">
      <c r="A248" s="28" t="n"/>
      <c r="B248" s="9" t="n"/>
      <c r="C248" s="29" t="n"/>
      <c r="D248" s="29" t="n"/>
      <c r="E248" s="14">
        <f>IF(C248="","",'3 Sistema'!$C$6)</f>
        <v/>
      </c>
      <c r="F248" s="27">
        <f>IF(C248="","",C248*E248+N(D248))</f>
        <v/>
      </c>
      <c r="G248" s="27">
        <f>IF(C248="","",C248+N(D248)-F248)</f>
        <v/>
      </c>
      <c r="H248" s="17">
        <f>IF(A248="","",YEAR(A248)*100+MONTH(A248))</f>
        <v/>
      </c>
      <c r="I248" s="9" t="n"/>
    </row>
    <row r="249">
      <c r="A249" s="28" t="n"/>
      <c r="B249" s="9" t="n"/>
      <c r="C249" s="29" t="n"/>
      <c r="D249" s="29" t="n"/>
      <c r="E249" s="14">
        <f>IF(C249="","",'3 Sistema'!$C$6)</f>
        <v/>
      </c>
      <c r="F249" s="27">
        <f>IF(C249="","",C249*E249+N(D249))</f>
        <v/>
      </c>
      <c r="G249" s="27">
        <f>IF(C249="","",C249+N(D249)-F249)</f>
        <v/>
      </c>
      <c r="H249" s="17">
        <f>IF(A249="","",YEAR(A249)*100+MONTH(A249))</f>
        <v/>
      </c>
      <c r="I249" s="9" t="n"/>
    </row>
    <row r="250">
      <c r="A250" s="28" t="n"/>
      <c r="B250" s="9" t="n"/>
      <c r="C250" s="29" t="n"/>
      <c r="D250" s="29" t="n"/>
      <c r="E250" s="14">
        <f>IF(C250="","",'3 Sistema'!$C$6)</f>
        <v/>
      </c>
      <c r="F250" s="27">
        <f>IF(C250="","",C250*E250+N(D250))</f>
        <v/>
      </c>
      <c r="G250" s="27">
        <f>IF(C250="","",C250+N(D250)-F250)</f>
        <v/>
      </c>
      <c r="H250" s="17">
        <f>IF(A250="","",YEAR(A250)*100+MONTH(A250))</f>
        <v/>
      </c>
      <c r="I250" s="9" t="n"/>
    </row>
    <row r="251">
      <c r="A251" s="28" t="n"/>
      <c r="B251" s="9" t="n"/>
      <c r="C251" s="29" t="n"/>
      <c r="D251" s="29" t="n"/>
      <c r="E251" s="14">
        <f>IF(C251="","",'3 Sistema'!$C$6)</f>
        <v/>
      </c>
      <c r="F251" s="27">
        <f>IF(C251="","",C251*E251+N(D251))</f>
        <v/>
      </c>
      <c r="G251" s="27">
        <f>IF(C251="","",C251+N(D251)-F251)</f>
        <v/>
      </c>
      <c r="H251" s="17">
        <f>IF(A251="","",YEAR(A251)*100+MONTH(A251))</f>
        <v/>
      </c>
      <c r="I251" s="9" t="n"/>
    </row>
    <row r="252">
      <c r="A252" s="28" t="n"/>
      <c r="B252" s="9" t="n"/>
      <c r="C252" s="29" t="n"/>
      <c r="D252" s="29" t="n"/>
      <c r="E252" s="14">
        <f>IF(C252="","",'3 Sistema'!$C$6)</f>
        <v/>
      </c>
      <c r="F252" s="27">
        <f>IF(C252="","",C252*E252+N(D252))</f>
        <v/>
      </c>
      <c r="G252" s="27">
        <f>IF(C252="","",C252+N(D252)-F252)</f>
        <v/>
      </c>
      <c r="H252" s="17">
        <f>IF(A252="","",YEAR(A252)*100+MONTH(A252))</f>
        <v/>
      </c>
      <c r="I252" s="9" t="n"/>
    </row>
    <row r="253">
      <c r="A253" s="28" t="n"/>
      <c r="B253" s="9" t="n"/>
      <c r="C253" s="29" t="n"/>
      <c r="D253" s="29" t="n"/>
      <c r="E253" s="14">
        <f>IF(C253="","",'3 Sistema'!$C$6)</f>
        <v/>
      </c>
      <c r="F253" s="27">
        <f>IF(C253="","",C253*E253+N(D253))</f>
        <v/>
      </c>
      <c r="G253" s="27">
        <f>IF(C253="","",C253+N(D253)-F253)</f>
        <v/>
      </c>
      <c r="H253" s="17">
        <f>IF(A253="","",YEAR(A253)*100+MONTH(A253))</f>
        <v/>
      </c>
      <c r="I253" s="9" t="n"/>
    </row>
    <row r="254">
      <c r="A254" s="28" t="n"/>
      <c r="B254" s="9" t="n"/>
      <c r="C254" s="29" t="n"/>
      <c r="D254" s="29" t="n"/>
      <c r="E254" s="14">
        <f>IF(C254="","",'3 Sistema'!$C$6)</f>
        <v/>
      </c>
      <c r="F254" s="27">
        <f>IF(C254="","",C254*E254+N(D254))</f>
        <v/>
      </c>
      <c r="G254" s="27">
        <f>IF(C254="","",C254+N(D254)-F254)</f>
        <v/>
      </c>
      <c r="H254" s="17">
        <f>IF(A254="","",YEAR(A254)*100+MONTH(A254))</f>
        <v/>
      </c>
      <c r="I254" s="9" t="n"/>
    </row>
    <row r="255">
      <c r="A255" s="28" t="n"/>
      <c r="B255" s="9" t="n"/>
      <c r="C255" s="29" t="n"/>
      <c r="D255" s="29" t="n"/>
      <c r="E255" s="14">
        <f>IF(C255="","",'3 Sistema'!$C$6)</f>
        <v/>
      </c>
      <c r="F255" s="27">
        <f>IF(C255="","",C255*E255+N(D255))</f>
        <v/>
      </c>
      <c r="G255" s="27">
        <f>IF(C255="","",C255+N(D255)-F255)</f>
        <v/>
      </c>
      <c r="H255" s="17">
        <f>IF(A255="","",YEAR(A255)*100+MONTH(A255))</f>
        <v/>
      </c>
      <c r="I255" s="9" t="n"/>
    </row>
    <row r="256">
      <c r="A256" s="28" t="n"/>
      <c r="B256" s="9" t="n"/>
      <c r="C256" s="29" t="n"/>
      <c r="D256" s="29" t="n"/>
      <c r="E256" s="14">
        <f>IF(C256="","",'3 Sistema'!$C$6)</f>
        <v/>
      </c>
      <c r="F256" s="27">
        <f>IF(C256="","",C256*E256+N(D256))</f>
        <v/>
      </c>
      <c r="G256" s="27">
        <f>IF(C256="","",C256+N(D256)-F256)</f>
        <v/>
      </c>
      <c r="H256" s="17">
        <f>IF(A256="","",YEAR(A256)*100+MONTH(A256))</f>
        <v/>
      </c>
      <c r="I256" s="9" t="n"/>
    </row>
    <row r="257">
      <c r="A257" s="28" t="n"/>
      <c r="B257" s="9" t="n"/>
      <c r="C257" s="29" t="n"/>
      <c r="D257" s="29" t="n"/>
      <c r="E257" s="14">
        <f>IF(C257="","",'3 Sistema'!$C$6)</f>
        <v/>
      </c>
      <c r="F257" s="27">
        <f>IF(C257="","",C257*E257+N(D257))</f>
        <v/>
      </c>
      <c r="G257" s="27">
        <f>IF(C257="","",C257+N(D257)-F257)</f>
        <v/>
      </c>
      <c r="H257" s="17">
        <f>IF(A257="","",YEAR(A257)*100+MONTH(A257))</f>
        <v/>
      </c>
      <c r="I257" s="9" t="n"/>
    </row>
    <row r="258">
      <c r="A258" s="28" t="n"/>
      <c r="B258" s="9" t="n"/>
      <c r="C258" s="29" t="n"/>
      <c r="D258" s="29" t="n"/>
      <c r="E258" s="14">
        <f>IF(C258="","",'3 Sistema'!$C$6)</f>
        <v/>
      </c>
      <c r="F258" s="27">
        <f>IF(C258="","",C258*E258+N(D258))</f>
        <v/>
      </c>
      <c r="G258" s="27">
        <f>IF(C258="","",C258+N(D258)-F258)</f>
        <v/>
      </c>
      <c r="H258" s="17">
        <f>IF(A258="","",YEAR(A258)*100+MONTH(A258))</f>
        <v/>
      </c>
      <c r="I258" s="9" t="n"/>
    </row>
    <row r="259">
      <c r="A259" s="28" t="n"/>
      <c r="B259" s="9" t="n"/>
      <c r="C259" s="29" t="n"/>
      <c r="D259" s="29" t="n"/>
      <c r="E259" s="14">
        <f>IF(C259="","",'3 Sistema'!$C$6)</f>
        <v/>
      </c>
      <c r="F259" s="27">
        <f>IF(C259="","",C259*E259+N(D259))</f>
        <v/>
      </c>
      <c r="G259" s="27">
        <f>IF(C259="","",C259+N(D259)-F259)</f>
        <v/>
      </c>
      <c r="H259" s="17">
        <f>IF(A259="","",YEAR(A259)*100+MONTH(A259))</f>
        <v/>
      </c>
      <c r="I259" s="9" t="n"/>
    </row>
    <row r="260">
      <c r="A260" s="28" t="n"/>
      <c r="B260" s="9" t="n"/>
      <c r="C260" s="29" t="n"/>
      <c r="D260" s="29" t="n"/>
      <c r="E260" s="14">
        <f>IF(C260="","",'3 Sistema'!$C$6)</f>
        <v/>
      </c>
      <c r="F260" s="27">
        <f>IF(C260="","",C260*E260+N(D260))</f>
        <v/>
      </c>
      <c r="G260" s="27">
        <f>IF(C260="","",C260+N(D260)-F260)</f>
        <v/>
      </c>
      <c r="H260" s="17">
        <f>IF(A260="","",YEAR(A260)*100+MONTH(A260))</f>
        <v/>
      </c>
      <c r="I260" s="9" t="n"/>
    </row>
    <row r="261">
      <c r="A261" s="28" t="n"/>
      <c r="B261" s="9" t="n"/>
      <c r="C261" s="29" t="n"/>
      <c r="D261" s="29" t="n"/>
      <c r="E261" s="14">
        <f>IF(C261="","",'3 Sistema'!$C$6)</f>
        <v/>
      </c>
      <c r="F261" s="27">
        <f>IF(C261="","",C261*E261+N(D261))</f>
        <v/>
      </c>
      <c r="G261" s="27">
        <f>IF(C261="","",C261+N(D261)-F261)</f>
        <v/>
      </c>
      <c r="H261" s="17">
        <f>IF(A261="","",YEAR(A261)*100+MONTH(A261))</f>
        <v/>
      </c>
      <c r="I261" s="9" t="n"/>
    </row>
    <row r="262">
      <c r="A262" s="28" t="n"/>
      <c r="B262" s="9" t="n"/>
      <c r="C262" s="29" t="n"/>
      <c r="D262" s="29" t="n"/>
      <c r="E262" s="14">
        <f>IF(C262="","",'3 Sistema'!$C$6)</f>
        <v/>
      </c>
      <c r="F262" s="27">
        <f>IF(C262="","",C262*E262+N(D262))</f>
        <v/>
      </c>
      <c r="G262" s="27">
        <f>IF(C262="","",C262+N(D262)-F262)</f>
        <v/>
      </c>
      <c r="H262" s="17">
        <f>IF(A262="","",YEAR(A262)*100+MONTH(A262))</f>
        <v/>
      </c>
      <c r="I262" s="9" t="n"/>
    </row>
    <row r="263">
      <c r="A263" s="28" t="n"/>
      <c r="B263" s="9" t="n"/>
      <c r="C263" s="29" t="n"/>
      <c r="D263" s="29" t="n"/>
      <c r="E263" s="14">
        <f>IF(C263="","",'3 Sistema'!$C$6)</f>
        <v/>
      </c>
      <c r="F263" s="27">
        <f>IF(C263="","",C263*E263+N(D263))</f>
        <v/>
      </c>
      <c r="G263" s="27">
        <f>IF(C263="","",C263+N(D263)-F263)</f>
        <v/>
      </c>
      <c r="H263" s="17">
        <f>IF(A263="","",YEAR(A263)*100+MONTH(A263))</f>
        <v/>
      </c>
      <c r="I263" s="9" t="n"/>
    </row>
    <row r="264">
      <c r="A264" s="28" t="n"/>
      <c r="B264" s="9" t="n"/>
      <c r="C264" s="29" t="n"/>
      <c r="D264" s="29" t="n"/>
      <c r="E264" s="14">
        <f>IF(C264="","",'3 Sistema'!$C$6)</f>
        <v/>
      </c>
      <c r="F264" s="27">
        <f>IF(C264="","",C264*E264+N(D264))</f>
        <v/>
      </c>
      <c r="G264" s="27">
        <f>IF(C264="","",C264+N(D264)-F264)</f>
        <v/>
      </c>
      <c r="H264" s="17">
        <f>IF(A264="","",YEAR(A264)*100+MONTH(A264))</f>
        <v/>
      </c>
      <c r="I264" s="9" t="n"/>
    </row>
    <row r="265">
      <c r="A265" s="28" t="n"/>
      <c r="B265" s="9" t="n"/>
      <c r="C265" s="29" t="n"/>
      <c r="D265" s="29" t="n"/>
      <c r="E265" s="14">
        <f>IF(C265="","",'3 Sistema'!$C$6)</f>
        <v/>
      </c>
      <c r="F265" s="27">
        <f>IF(C265="","",C265*E265+N(D265))</f>
        <v/>
      </c>
      <c r="G265" s="27">
        <f>IF(C265="","",C265+N(D265)-F265)</f>
        <v/>
      </c>
      <c r="H265" s="17">
        <f>IF(A265="","",YEAR(A265)*100+MONTH(A265))</f>
        <v/>
      </c>
      <c r="I265" s="9" t="n"/>
    </row>
    <row r="266">
      <c r="A266" s="28" t="n"/>
      <c r="B266" s="9" t="n"/>
      <c r="C266" s="29" t="n"/>
      <c r="D266" s="29" t="n"/>
      <c r="E266" s="14">
        <f>IF(C266="","",'3 Sistema'!$C$6)</f>
        <v/>
      </c>
      <c r="F266" s="27">
        <f>IF(C266="","",C266*E266+N(D266))</f>
        <v/>
      </c>
      <c r="G266" s="27">
        <f>IF(C266="","",C266+N(D266)-F266)</f>
        <v/>
      </c>
      <c r="H266" s="17">
        <f>IF(A266="","",YEAR(A266)*100+MONTH(A266))</f>
        <v/>
      </c>
      <c r="I266" s="9" t="n"/>
    </row>
    <row r="267">
      <c r="A267" s="28" t="n"/>
      <c r="B267" s="9" t="n"/>
      <c r="C267" s="29" t="n"/>
      <c r="D267" s="29" t="n"/>
      <c r="E267" s="14">
        <f>IF(C267="","",'3 Sistema'!$C$6)</f>
        <v/>
      </c>
      <c r="F267" s="27">
        <f>IF(C267="","",C267*E267+N(D267))</f>
        <v/>
      </c>
      <c r="G267" s="27">
        <f>IF(C267="","",C267+N(D267)-F267)</f>
        <v/>
      </c>
      <c r="H267" s="17">
        <f>IF(A267="","",YEAR(A267)*100+MONTH(A267))</f>
        <v/>
      </c>
      <c r="I267" s="9" t="n"/>
    </row>
    <row r="268">
      <c r="A268" s="28" t="n"/>
      <c r="B268" s="9" t="n"/>
      <c r="C268" s="29" t="n"/>
      <c r="D268" s="29" t="n"/>
      <c r="E268" s="14">
        <f>IF(C268="","",'3 Sistema'!$C$6)</f>
        <v/>
      </c>
      <c r="F268" s="27">
        <f>IF(C268="","",C268*E268+N(D268))</f>
        <v/>
      </c>
      <c r="G268" s="27">
        <f>IF(C268="","",C268+N(D268)-F268)</f>
        <v/>
      </c>
      <c r="H268" s="17">
        <f>IF(A268="","",YEAR(A268)*100+MONTH(A268))</f>
        <v/>
      </c>
      <c r="I268" s="9" t="n"/>
    </row>
    <row r="269">
      <c r="A269" s="28" t="n"/>
      <c r="B269" s="9" t="n"/>
      <c r="C269" s="29" t="n"/>
      <c r="D269" s="29" t="n"/>
      <c r="E269" s="14">
        <f>IF(C269="","",'3 Sistema'!$C$6)</f>
        <v/>
      </c>
      <c r="F269" s="27">
        <f>IF(C269="","",C269*E269+N(D269))</f>
        <v/>
      </c>
      <c r="G269" s="27">
        <f>IF(C269="","",C269+N(D269)-F269)</f>
        <v/>
      </c>
      <c r="H269" s="17">
        <f>IF(A269="","",YEAR(A269)*100+MONTH(A269))</f>
        <v/>
      </c>
      <c r="I269" s="9" t="n"/>
    </row>
    <row r="270">
      <c r="A270" s="28" t="n"/>
      <c r="B270" s="9" t="n"/>
      <c r="C270" s="29" t="n"/>
      <c r="D270" s="29" t="n"/>
      <c r="E270" s="14">
        <f>IF(C270="","",'3 Sistema'!$C$6)</f>
        <v/>
      </c>
      <c r="F270" s="27">
        <f>IF(C270="","",C270*E270+N(D270))</f>
        <v/>
      </c>
      <c r="G270" s="27">
        <f>IF(C270="","",C270+N(D270)-F270)</f>
        <v/>
      </c>
      <c r="H270" s="17">
        <f>IF(A270="","",YEAR(A270)*100+MONTH(A270))</f>
        <v/>
      </c>
      <c r="I270" s="9" t="n"/>
    </row>
    <row r="271">
      <c r="A271" s="28" t="n"/>
      <c r="B271" s="9" t="n"/>
      <c r="C271" s="29" t="n"/>
      <c r="D271" s="29" t="n"/>
      <c r="E271" s="14">
        <f>IF(C271="","",'3 Sistema'!$C$6)</f>
        <v/>
      </c>
      <c r="F271" s="27">
        <f>IF(C271="","",C271*E271+N(D271))</f>
        <v/>
      </c>
      <c r="G271" s="27">
        <f>IF(C271="","",C271+N(D271)-F271)</f>
        <v/>
      </c>
      <c r="H271" s="17">
        <f>IF(A271="","",YEAR(A271)*100+MONTH(A271))</f>
        <v/>
      </c>
      <c r="I271" s="9" t="n"/>
    </row>
    <row r="272">
      <c r="A272" s="28" t="n"/>
      <c r="B272" s="9" t="n"/>
      <c r="C272" s="29" t="n"/>
      <c r="D272" s="29" t="n"/>
      <c r="E272" s="14">
        <f>IF(C272="","",'3 Sistema'!$C$6)</f>
        <v/>
      </c>
      <c r="F272" s="27">
        <f>IF(C272="","",C272*E272+N(D272))</f>
        <v/>
      </c>
      <c r="G272" s="27">
        <f>IF(C272="","",C272+N(D272)-F272)</f>
        <v/>
      </c>
      <c r="H272" s="17">
        <f>IF(A272="","",YEAR(A272)*100+MONTH(A272))</f>
        <v/>
      </c>
      <c r="I272" s="9" t="n"/>
    </row>
    <row r="273">
      <c r="A273" s="28" t="n"/>
      <c r="B273" s="9" t="n"/>
      <c r="C273" s="29" t="n"/>
      <c r="D273" s="29" t="n"/>
      <c r="E273" s="14">
        <f>IF(C273="","",'3 Sistema'!$C$6)</f>
        <v/>
      </c>
      <c r="F273" s="27">
        <f>IF(C273="","",C273*E273+N(D273))</f>
        <v/>
      </c>
      <c r="G273" s="27">
        <f>IF(C273="","",C273+N(D273)-F273)</f>
        <v/>
      </c>
      <c r="H273" s="17">
        <f>IF(A273="","",YEAR(A273)*100+MONTH(A273))</f>
        <v/>
      </c>
      <c r="I273" s="9" t="n"/>
    </row>
    <row r="274">
      <c r="A274" s="28" t="n"/>
      <c r="B274" s="9" t="n"/>
      <c r="C274" s="29" t="n"/>
      <c r="D274" s="29" t="n"/>
      <c r="E274" s="14">
        <f>IF(C274="","",'3 Sistema'!$C$6)</f>
        <v/>
      </c>
      <c r="F274" s="27">
        <f>IF(C274="","",C274*E274+N(D274))</f>
        <v/>
      </c>
      <c r="G274" s="27">
        <f>IF(C274="","",C274+N(D274)-F274)</f>
        <v/>
      </c>
      <c r="H274" s="17">
        <f>IF(A274="","",YEAR(A274)*100+MONTH(A274))</f>
        <v/>
      </c>
      <c r="I274" s="9" t="n"/>
    </row>
    <row r="275">
      <c r="A275" s="28" t="n"/>
      <c r="B275" s="9" t="n"/>
      <c r="C275" s="29" t="n"/>
      <c r="D275" s="29" t="n"/>
      <c r="E275" s="14">
        <f>IF(C275="","",'3 Sistema'!$C$6)</f>
        <v/>
      </c>
      <c r="F275" s="27">
        <f>IF(C275="","",C275*E275+N(D275))</f>
        <v/>
      </c>
      <c r="G275" s="27">
        <f>IF(C275="","",C275+N(D275)-F275)</f>
        <v/>
      </c>
      <c r="H275" s="17">
        <f>IF(A275="","",YEAR(A275)*100+MONTH(A275))</f>
        <v/>
      </c>
      <c r="I275" s="9" t="n"/>
    </row>
    <row r="276">
      <c r="A276" s="28" t="n"/>
      <c r="B276" s="9" t="n"/>
      <c r="C276" s="29" t="n"/>
      <c r="D276" s="29" t="n"/>
      <c r="E276" s="14">
        <f>IF(C276="","",'3 Sistema'!$C$6)</f>
        <v/>
      </c>
      <c r="F276" s="27">
        <f>IF(C276="","",C276*E276+N(D276))</f>
        <v/>
      </c>
      <c r="G276" s="27">
        <f>IF(C276="","",C276+N(D276)-F276)</f>
        <v/>
      </c>
      <c r="H276" s="17">
        <f>IF(A276="","",YEAR(A276)*100+MONTH(A276))</f>
        <v/>
      </c>
      <c r="I276" s="9" t="n"/>
    </row>
    <row r="277">
      <c r="A277" s="28" t="n"/>
      <c r="B277" s="9" t="n"/>
      <c r="C277" s="29" t="n"/>
      <c r="D277" s="29" t="n"/>
      <c r="E277" s="14">
        <f>IF(C277="","",'3 Sistema'!$C$6)</f>
        <v/>
      </c>
      <c r="F277" s="27">
        <f>IF(C277="","",C277*E277+N(D277))</f>
        <v/>
      </c>
      <c r="G277" s="27">
        <f>IF(C277="","",C277+N(D277)-F277)</f>
        <v/>
      </c>
      <c r="H277" s="17">
        <f>IF(A277="","",YEAR(A277)*100+MONTH(A277))</f>
        <v/>
      </c>
      <c r="I277" s="9" t="n"/>
    </row>
    <row r="278">
      <c r="A278" s="28" t="n"/>
      <c r="B278" s="9" t="n"/>
      <c r="C278" s="29" t="n"/>
      <c r="D278" s="29" t="n"/>
      <c r="E278" s="14">
        <f>IF(C278="","",'3 Sistema'!$C$6)</f>
        <v/>
      </c>
      <c r="F278" s="27">
        <f>IF(C278="","",C278*E278+N(D278))</f>
        <v/>
      </c>
      <c r="G278" s="27">
        <f>IF(C278="","",C278+N(D278)-F278)</f>
        <v/>
      </c>
      <c r="H278" s="17">
        <f>IF(A278="","",YEAR(A278)*100+MONTH(A278))</f>
        <v/>
      </c>
      <c r="I278" s="9" t="n"/>
    </row>
    <row r="279">
      <c r="A279" s="28" t="n"/>
      <c r="B279" s="9" t="n"/>
      <c r="C279" s="29" t="n"/>
      <c r="D279" s="29" t="n"/>
      <c r="E279" s="14">
        <f>IF(C279="","",'3 Sistema'!$C$6)</f>
        <v/>
      </c>
      <c r="F279" s="27">
        <f>IF(C279="","",C279*E279+N(D279))</f>
        <v/>
      </c>
      <c r="G279" s="27">
        <f>IF(C279="","",C279+N(D279)-F279)</f>
        <v/>
      </c>
      <c r="H279" s="17">
        <f>IF(A279="","",YEAR(A279)*100+MONTH(A279))</f>
        <v/>
      </c>
      <c r="I279" s="9" t="n"/>
    </row>
    <row r="280">
      <c r="A280" s="28" t="n"/>
      <c r="B280" s="9" t="n"/>
      <c r="C280" s="29" t="n"/>
      <c r="D280" s="29" t="n"/>
      <c r="E280" s="14">
        <f>IF(C280="","",'3 Sistema'!$C$6)</f>
        <v/>
      </c>
      <c r="F280" s="27">
        <f>IF(C280="","",C280*E280+N(D280))</f>
        <v/>
      </c>
      <c r="G280" s="27">
        <f>IF(C280="","",C280+N(D280)-F280)</f>
        <v/>
      </c>
      <c r="H280" s="17">
        <f>IF(A280="","",YEAR(A280)*100+MONTH(A280))</f>
        <v/>
      </c>
      <c r="I280" s="9" t="n"/>
    </row>
    <row r="281">
      <c r="A281" s="28" t="n"/>
      <c r="B281" s="9" t="n"/>
      <c r="C281" s="29" t="n"/>
      <c r="D281" s="29" t="n"/>
      <c r="E281" s="14">
        <f>IF(C281="","",'3 Sistema'!$C$6)</f>
        <v/>
      </c>
      <c r="F281" s="27">
        <f>IF(C281="","",C281*E281+N(D281))</f>
        <v/>
      </c>
      <c r="G281" s="27">
        <f>IF(C281="","",C281+N(D281)-F281)</f>
        <v/>
      </c>
      <c r="H281" s="17">
        <f>IF(A281="","",YEAR(A281)*100+MONTH(A281))</f>
        <v/>
      </c>
      <c r="I281" s="9" t="n"/>
    </row>
    <row r="282">
      <c r="A282" s="28" t="n"/>
      <c r="B282" s="9" t="n"/>
      <c r="C282" s="29" t="n"/>
      <c r="D282" s="29" t="n"/>
      <c r="E282" s="14">
        <f>IF(C282="","",'3 Sistema'!$C$6)</f>
        <v/>
      </c>
      <c r="F282" s="27">
        <f>IF(C282="","",C282*E282+N(D282))</f>
        <v/>
      </c>
      <c r="G282" s="27">
        <f>IF(C282="","",C282+N(D282)-F282)</f>
        <v/>
      </c>
      <c r="H282" s="17">
        <f>IF(A282="","",YEAR(A282)*100+MONTH(A282))</f>
        <v/>
      </c>
      <c r="I282" s="9" t="n"/>
    </row>
    <row r="283">
      <c r="A283" s="28" t="n"/>
      <c r="B283" s="9" t="n"/>
      <c r="C283" s="29" t="n"/>
      <c r="D283" s="29" t="n"/>
      <c r="E283" s="14">
        <f>IF(C283="","",'3 Sistema'!$C$6)</f>
        <v/>
      </c>
      <c r="F283" s="27">
        <f>IF(C283="","",C283*E283+N(D283))</f>
        <v/>
      </c>
      <c r="G283" s="27">
        <f>IF(C283="","",C283+N(D283)-F283)</f>
        <v/>
      </c>
      <c r="H283" s="17">
        <f>IF(A283="","",YEAR(A283)*100+MONTH(A283))</f>
        <v/>
      </c>
      <c r="I283" s="9" t="n"/>
    </row>
    <row r="284">
      <c r="A284" s="28" t="n"/>
      <c r="B284" s="9" t="n"/>
      <c r="C284" s="29" t="n"/>
      <c r="D284" s="29" t="n"/>
      <c r="E284" s="14">
        <f>IF(C284="","",'3 Sistema'!$C$6)</f>
        <v/>
      </c>
      <c r="F284" s="27">
        <f>IF(C284="","",C284*E284+N(D284))</f>
        <v/>
      </c>
      <c r="G284" s="27">
        <f>IF(C284="","",C284+N(D284)-F284)</f>
        <v/>
      </c>
      <c r="H284" s="17">
        <f>IF(A284="","",YEAR(A284)*100+MONTH(A284))</f>
        <v/>
      </c>
      <c r="I284" s="9" t="n"/>
    </row>
    <row r="285">
      <c r="A285" s="28" t="n"/>
      <c r="B285" s="9" t="n"/>
      <c r="C285" s="29" t="n"/>
      <c r="D285" s="29" t="n"/>
      <c r="E285" s="14">
        <f>IF(C285="","",'3 Sistema'!$C$6)</f>
        <v/>
      </c>
      <c r="F285" s="27">
        <f>IF(C285="","",C285*E285+N(D285))</f>
        <v/>
      </c>
      <c r="G285" s="27">
        <f>IF(C285="","",C285+N(D285)-F285)</f>
        <v/>
      </c>
      <c r="H285" s="17">
        <f>IF(A285="","",YEAR(A285)*100+MONTH(A285))</f>
        <v/>
      </c>
      <c r="I285" s="9" t="n"/>
    </row>
    <row r="286">
      <c r="A286" s="28" t="n"/>
      <c r="B286" s="9" t="n"/>
      <c r="C286" s="29" t="n"/>
      <c r="D286" s="29" t="n"/>
      <c r="E286" s="14">
        <f>IF(C286="","",'3 Sistema'!$C$6)</f>
        <v/>
      </c>
      <c r="F286" s="27">
        <f>IF(C286="","",C286*E286+N(D286))</f>
        <v/>
      </c>
      <c r="G286" s="27">
        <f>IF(C286="","",C286+N(D286)-F286)</f>
        <v/>
      </c>
      <c r="H286" s="17">
        <f>IF(A286="","",YEAR(A286)*100+MONTH(A286))</f>
        <v/>
      </c>
      <c r="I286" s="9" t="n"/>
    </row>
    <row r="287">
      <c r="A287" s="28" t="n"/>
      <c r="B287" s="9" t="n"/>
      <c r="C287" s="29" t="n"/>
      <c r="D287" s="29" t="n"/>
      <c r="E287" s="14">
        <f>IF(C287="","",'3 Sistema'!$C$6)</f>
        <v/>
      </c>
      <c r="F287" s="27">
        <f>IF(C287="","",C287*E287+N(D287))</f>
        <v/>
      </c>
      <c r="G287" s="27">
        <f>IF(C287="","",C287+N(D287)-F287)</f>
        <v/>
      </c>
      <c r="H287" s="17">
        <f>IF(A287="","",YEAR(A287)*100+MONTH(A287))</f>
        <v/>
      </c>
      <c r="I287" s="9" t="n"/>
    </row>
    <row r="288">
      <c r="A288" s="28" t="n"/>
      <c r="B288" s="9" t="n"/>
      <c r="C288" s="29" t="n"/>
      <c r="D288" s="29" t="n"/>
      <c r="E288" s="14">
        <f>IF(C288="","",'3 Sistema'!$C$6)</f>
        <v/>
      </c>
      <c r="F288" s="27">
        <f>IF(C288="","",C288*E288+N(D288))</f>
        <v/>
      </c>
      <c r="G288" s="27">
        <f>IF(C288="","",C288+N(D288)-F288)</f>
        <v/>
      </c>
      <c r="H288" s="17">
        <f>IF(A288="","",YEAR(A288)*100+MONTH(A288))</f>
        <v/>
      </c>
      <c r="I288" s="9" t="n"/>
    </row>
    <row r="289">
      <c r="A289" s="28" t="n"/>
      <c r="B289" s="9" t="n"/>
      <c r="C289" s="29" t="n"/>
      <c r="D289" s="29" t="n"/>
      <c r="E289" s="14">
        <f>IF(C289="","",'3 Sistema'!$C$6)</f>
        <v/>
      </c>
      <c r="F289" s="27">
        <f>IF(C289="","",C289*E289+N(D289))</f>
        <v/>
      </c>
      <c r="G289" s="27">
        <f>IF(C289="","",C289+N(D289)-F289)</f>
        <v/>
      </c>
      <c r="H289" s="17">
        <f>IF(A289="","",YEAR(A289)*100+MONTH(A289))</f>
        <v/>
      </c>
      <c r="I289" s="9" t="n"/>
    </row>
    <row r="290">
      <c r="A290" s="28" t="n"/>
      <c r="B290" s="9" t="n"/>
      <c r="C290" s="29" t="n"/>
      <c r="D290" s="29" t="n"/>
      <c r="E290" s="14">
        <f>IF(C290="","",'3 Sistema'!$C$6)</f>
        <v/>
      </c>
      <c r="F290" s="27">
        <f>IF(C290="","",C290*E290+N(D290))</f>
        <v/>
      </c>
      <c r="G290" s="27">
        <f>IF(C290="","",C290+N(D290)-F290)</f>
        <v/>
      </c>
      <c r="H290" s="17">
        <f>IF(A290="","",YEAR(A290)*100+MONTH(A290))</f>
        <v/>
      </c>
      <c r="I290" s="9" t="n"/>
    </row>
    <row r="291">
      <c r="A291" s="28" t="n"/>
      <c r="B291" s="9" t="n"/>
      <c r="C291" s="29" t="n"/>
      <c r="D291" s="29" t="n"/>
      <c r="E291" s="14">
        <f>IF(C291="","",'3 Sistema'!$C$6)</f>
        <v/>
      </c>
      <c r="F291" s="27">
        <f>IF(C291="","",C291*E291+N(D291))</f>
        <v/>
      </c>
      <c r="G291" s="27">
        <f>IF(C291="","",C291+N(D291)-F291)</f>
        <v/>
      </c>
      <c r="H291" s="17">
        <f>IF(A291="","",YEAR(A291)*100+MONTH(A291))</f>
        <v/>
      </c>
      <c r="I291" s="9" t="n"/>
    </row>
    <row r="292">
      <c r="A292" s="28" t="n"/>
      <c r="B292" s="9" t="n"/>
      <c r="C292" s="29" t="n"/>
      <c r="D292" s="29" t="n"/>
      <c r="E292" s="14">
        <f>IF(C292="","",'3 Sistema'!$C$6)</f>
        <v/>
      </c>
      <c r="F292" s="27">
        <f>IF(C292="","",C292*E292+N(D292))</f>
        <v/>
      </c>
      <c r="G292" s="27">
        <f>IF(C292="","",C292+N(D292)-F292)</f>
        <v/>
      </c>
      <c r="H292" s="17">
        <f>IF(A292="","",YEAR(A292)*100+MONTH(A292))</f>
        <v/>
      </c>
      <c r="I292" s="9" t="n"/>
    </row>
    <row r="293">
      <c r="A293" s="28" t="n"/>
      <c r="B293" s="9" t="n"/>
      <c r="C293" s="29" t="n"/>
      <c r="D293" s="29" t="n"/>
      <c r="E293" s="14">
        <f>IF(C293="","",'3 Sistema'!$C$6)</f>
        <v/>
      </c>
      <c r="F293" s="27">
        <f>IF(C293="","",C293*E293+N(D293))</f>
        <v/>
      </c>
      <c r="G293" s="27">
        <f>IF(C293="","",C293+N(D293)-F293)</f>
        <v/>
      </c>
      <c r="H293" s="17">
        <f>IF(A293="","",YEAR(A293)*100+MONTH(A293))</f>
        <v/>
      </c>
      <c r="I293" s="9" t="n"/>
    </row>
    <row r="294">
      <c r="A294" s="28" t="n"/>
      <c r="B294" s="9" t="n"/>
      <c r="C294" s="29" t="n"/>
      <c r="D294" s="29" t="n"/>
      <c r="E294" s="14">
        <f>IF(C294="","",'3 Sistema'!$C$6)</f>
        <v/>
      </c>
      <c r="F294" s="27">
        <f>IF(C294="","",C294*E294+N(D294))</f>
        <v/>
      </c>
      <c r="G294" s="27">
        <f>IF(C294="","",C294+N(D294)-F294)</f>
        <v/>
      </c>
      <c r="H294" s="17">
        <f>IF(A294="","",YEAR(A294)*100+MONTH(A294))</f>
        <v/>
      </c>
      <c r="I294" s="9" t="n"/>
    </row>
    <row r="295">
      <c r="A295" s="28" t="n"/>
      <c r="B295" s="9" t="n"/>
      <c r="C295" s="29" t="n"/>
      <c r="D295" s="29" t="n"/>
      <c r="E295" s="14">
        <f>IF(C295="","",'3 Sistema'!$C$6)</f>
        <v/>
      </c>
      <c r="F295" s="27">
        <f>IF(C295="","",C295*E295+N(D295))</f>
        <v/>
      </c>
      <c r="G295" s="27">
        <f>IF(C295="","",C295+N(D295)-F295)</f>
        <v/>
      </c>
      <c r="H295" s="17">
        <f>IF(A295="","",YEAR(A295)*100+MONTH(A295))</f>
        <v/>
      </c>
      <c r="I295" s="9" t="n"/>
    </row>
    <row r="296">
      <c r="A296" s="28" t="n"/>
      <c r="B296" s="9" t="n"/>
      <c r="C296" s="29" t="n"/>
      <c r="D296" s="29" t="n"/>
      <c r="E296" s="14">
        <f>IF(C296="","",'3 Sistema'!$C$6)</f>
        <v/>
      </c>
      <c r="F296" s="27">
        <f>IF(C296="","",C296*E296+N(D296))</f>
        <v/>
      </c>
      <c r="G296" s="27">
        <f>IF(C296="","",C296+N(D296)-F296)</f>
        <v/>
      </c>
      <c r="H296" s="17">
        <f>IF(A296="","",YEAR(A296)*100+MONTH(A296))</f>
        <v/>
      </c>
      <c r="I296" s="9" t="n"/>
    </row>
    <row r="297">
      <c r="A297" s="28" t="n"/>
      <c r="B297" s="9" t="n"/>
      <c r="C297" s="29" t="n"/>
      <c r="D297" s="29" t="n"/>
      <c r="E297" s="14">
        <f>IF(C297="","",'3 Sistema'!$C$6)</f>
        <v/>
      </c>
      <c r="F297" s="27">
        <f>IF(C297="","",C297*E297+N(D297))</f>
        <v/>
      </c>
      <c r="G297" s="27">
        <f>IF(C297="","",C297+N(D297)-F297)</f>
        <v/>
      </c>
      <c r="H297" s="17">
        <f>IF(A297="","",YEAR(A297)*100+MONTH(A297))</f>
        <v/>
      </c>
      <c r="I297" s="9" t="n"/>
    </row>
    <row r="298">
      <c r="A298" s="28" t="n"/>
      <c r="B298" s="9" t="n"/>
      <c r="C298" s="29" t="n"/>
      <c r="D298" s="29" t="n"/>
      <c r="E298" s="14">
        <f>IF(C298="","",'3 Sistema'!$C$6)</f>
        <v/>
      </c>
      <c r="F298" s="27">
        <f>IF(C298="","",C298*E298+N(D298))</f>
        <v/>
      </c>
      <c r="G298" s="27">
        <f>IF(C298="","",C298+N(D298)-F298)</f>
        <v/>
      </c>
      <c r="H298" s="17">
        <f>IF(A298="","",YEAR(A298)*100+MONTH(A298))</f>
        <v/>
      </c>
      <c r="I298" s="9" t="n"/>
    </row>
    <row r="299">
      <c r="A299" s="28" t="n"/>
      <c r="B299" s="9" t="n"/>
      <c r="C299" s="29" t="n"/>
      <c r="D299" s="29" t="n"/>
      <c r="E299" s="14">
        <f>IF(C299="","",'3 Sistema'!$C$6)</f>
        <v/>
      </c>
      <c r="F299" s="27">
        <f>IF(C299="","",C299*E299+N(D299))</f>
        <v/>
      </c>
      <c r="G299" s="27">
        <f>IF(C299="","",C299+N(D299)-F299)</f>
        <v/>
      </c>
      <c r="H299" s="17">
        <f>IF(A299="","",YEAR(A299)*100+MONTH(A299))</f>
        <v/>
      </c>
      <c r="I299" s="9" t="n"/>
    </row>
    <row r="300">
      <c r="A300" s="28" t="n"/>
      <c r="B300" s="9" t="n"/>
      <c r="C300" s="29" t="n"/>
      <c r="D300" s="29" t="n"/>
      <c r="E300" s="14">
        <f>IF(C300="","",'3 Sistema'!$C$6)</f>
        <v/>
      </c>
      <c r="F300" s="27">
        <f>IF(C300="","",C300*E300+N(D300))</f>
        <v/>
      </c>
      <c r="G300" s="27">
        <f>IF(C300="","",C300+N(D300)-F300)</f>
        <v/>
      </c>
      <c r="H300" s="17">
        <f>IF(A300="","",YEAR(A300)*100+MONTH(A300))</f>
        <v/>
      </c>
      <c r="I300" s="9" t="n"/>
    </row>
    <row r="301">
      <c r="A301" s="28" t="n"/>
      <c r="B301" s="9" t="n"/>
      <c r="C301" s="29" t="n"/>
      <c r="D301" s="29" t="n"/>
      <c r="E301" s="14">
        <f>IF(C301="","",'3 Sistema'!$C$6)</f>
        <v/>
      </c>
      <c r="F301" s="27">
        <f>IF(C301="","",C301*E301+N(D301))</f>
        <v/>
      </c>
      <c r="G301" s="27">
        <f>IF(C301="","",C301+N(D301)-F301)</f>
        <v/>
      </c>
      <c r="H301" s="17">
        <f>IF(A301="","",YEAR(A301)*100+MONTH(A301))</f>
        <v/>
      </c>
      <c r="I301" s="9" t="n"/>
    </row>
    <row r="302">
      <c r="A302" s="28" t="n"/>
      <c r="B302" s="9" t="n"/>
      <c r="C302" s="29" t="n"/>
      <c r="D302" s="29" t="n"/>
      <c r="E302" s="14">
        <f>IF(C302="","",'3 Sistema'!$C$6)</f>
        <v/>
      </c>
      <c r="F302" s="27">
        <f>IF(C302="","",C302*E302+N(D302))</f>
        <v/>
      </c>
      <c r="G302" s="27">
        <f>IF(C302="","",C302+N(D302)-F302)</f>
        <v/>
      </c>
      <c r="H302" s="17">
        <f>IF(A302="","",YEAR(A302)*100+MONTH(A302))</f>
        <v/>
      </c>
      <c r="I302" s="9" t="n"/>
    </row>
    <row r="303">
      <c r="A303" s="28" t="n"/>
      <c r="B303" s="9" t="n"/>
      <c r="C303" s="29" t="n"/>
      <c r="D303" s="29" t="n"/>
      <c r="E303" s="14">
        <f>IF(C303="","",'3 Sistema'!$C$6)</f>
        <v/>
      </c>
      <c r="F303" s="27">
        <f>IF(C303="","",C303*E303+N(D303))</f>
        <v/>
      </c>
      <c r="G303" s="27">
        <f>IF(C303="","",C303+N(D303)-F303)</f>
        <v/>
      </c>
      <c r="H303" s="17">
        <f>IF(A303="","",YEAR(A303)*100+MONTH(A303))</f>
        <v/>
      </c>
      <c r="I303" s="9" t="n"/>
    </row>
    <row r="304">
      <c r="A304" s="28" t="n"/>
      <c r="B304" s="9" t="n"/>
      <c r="C304" s="29" t="n"/>
      <c r="D304" s="29" t="n"/>
      <c r="E304" s="14">
        <f>IF(C304="","",'3 Sistema'!$C$6)</f>
        <v/>
      </c>
      <c r="F304" s="27">
        <f>IF(C304="","",C304*E304+N(D304))</f>
        <v/>
      </c>
      <c r="G304" s="27">
        <f>IF(C304="","",C304+N(D304)-F304)</f>
        <v/>
      </c>
      <c r="H304" s="17">
        <f>IF(A304="","",YEAR(A304)*100+MONTH(A304))</f>
        <v/>
      </c>
      <c r="I304" s="9" t="n"/>
    </row>
  </sheetData>
  <dataValidations count="1">
    <dataValidation sqref="I5:I30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FB5"/>
    <outlinePr summaryBelow="1" summaryRight="1"/>
    <pageSetUpPr/>
  </sheetPr>
  <dimension ref="A1:K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5" customWidth="1" min="5" max="5"/>
    <col width="14" customWidth="1" min="6" max="6"/>
    <col width="10" customWidth="1" min="7" max="7"/>
    <col width="11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5 · Seguimiento del embalse</t>
        </is>
      </c>
    </row>
    <row r="2">
      <c r="A2" s="2" t="inlineStr">
        <is>
          <t>El día de pago, anota el saldo del embalse ANTES de pagarte. La hoja sugiere el sueldo, calcula la zona del semáforo y la cascada.</t>
        </is>
      </c>
    </row>
    <row r="4" ht="30" customHeight="1">
      <c r="A4" s="8" t="inlineStr">
        <is>
          <t>Día de pago</t>
        </is>
      </c>
      <c r="B4" s="8" t="inlineStr">
        <is>
          <t>Embalse antes de pagarte</t>
        </is>
      </c>
      <c r="C4" s="8" t="inlineStr">
        <is>
          <t>Fase</t>
        </is>
      </c>
      <c r="D4" s="8" t="inlineStr">
        <is>
          <t>Sueldo sugerido</t>
        </is>
      </c>
      <c r="E4" s="8" t="inlineStr">
        <is>
          <t>Sueldo pagado (si fue distinto)</t>
        </is>
      </c>
      <c r="F4" s="8" t="inlineStr">
        <is>
          <t>Embalse después</t>
        </is>
      </c>
      <c r="G4" s="8" t="inlineStr">
        <is>
          <t>Sueldos meta</t>
        </is>
      </c>
      <c r="H4" s="8" t="inlineStr">
        <is>
          <t>Zona</t>
        </is>
      </c>
      <c r="I4" s="8" t="inlineStr">
        <is>
          <t>Excedente sobre la meta</t>
        </is>
      </c>
      <c r="J4" s="8" t="inlineStr">
        <is>
          <t>Disfrute (10 %)</t>
        </is>
      </c>
      <c r="K4" s="8" t="inlineStr">
        <is>
          <t>Cascada (90 %)</t>
        </is>
      </c>
    </row>
    <row r="5">
      <c r="A5" s="28" t="n"/>
      <c r="B5" s="10" t="n"/>
      <c r="C5" s="21">
        <f>IF(B5="","",IF(B5&gt;=2*'3 Sistema'!$C$15,"Normal","Arranque"))</f>
        <v/>
      </c>
      <c r="D5" s="11">
        <f>IF(B5="","",IF(B5&gt;=2*'3 Sistema'!$C$15,'3 Sistema'!$C$15,IF(C5="Arranque",MIN('3 Sistema'!$C$22,B5),IF(B5-'3 Sistema'!$C$20&gt;=0.5*'3 Sistema'!$C$15,'3 Sistema'!$C$20,MIN('3 Sistema'!$C$19,B5)))))</f>
        <v/>
      </c>
      <c r="E5" s="10" t="n"/>
      <c r="F5" s="11">
        <f>IF(B5="","",B5-IF(E5="",D5,E5))</f>
        <v/>
      </c>
      <c r="G5" s="31">
        <f>IF(B5="","",IFERROR(F5/'3 Sistema'!$C$15,0))</f>
        <v/>
      </c>
      <c r="H5" s="21">
        <f>IF(B5="","",IF(G5&gt;=3,"Verde",IF(G5&gt;=1,"Amarillo",IF(G5&gt;=0.5,"Naranja","Rojo"))))</f>
        <v/>
      </c>
      <c r="I5" s="11">
        <f>IF(OR(B5="",N('3 Sistema'!$C$33)=0),"",MAX(0,F5-'3 Sistema'!$C$33))</f>
        <v/>
      </c>
      <c r="J5" s="11">
        <f>IF(I5="","",I5*0.1)</f>
        <v/>
      </c>
      <c r="K5" s="11">
        <f>IF(I5="","",I5*0.9)</f>
        <v/>
      </c>
    </row>
    <row r="6">
      <c r="A6" s="28" t="n"/>
      <c r="B6" s="10" t="n"/>
      <c r="C6" s="21">
        <f>IF(B6="","",IF(OR(C5="Normal",B6&gt;=2*'3 Sistema'!$C$15),"Normal","Arranque"))</f>
        <v/>
      </c>
      <c r="D6" s="11">
        <f>IF(B6="","",IF(B6&gt;=2*'3 Sistema'!$C$15,'3 Sistema'!$C$15,IF(C6="Arranque",MIN('3 Sistema'!$C$22,B6),IF(B6-'3 Sistema'!$C$20&gt;=0.5*'3 Sistema'!$C$15,'3 Sistema'!$C$20,MIN('3 Sistema'!$C$19,B6)))))</f>
        <v/>
      </c>
      <c r="E6" s="10" t="n"/>
      <c r="F6" s="11">
        <f>IF(B6="","",B6-IF(E6="",D6,E6))</f>
        <v/>
      </c>
      <c r="G6" s="31">
        <f>IF(B6="","",IFERROR(F6/'3 Sistema'!$C$15,0))</f>
        <v/>
      </c>
      <c r="H6" s="21">
        <f>IF(B6="","",IF(G6&gt;=3,"Verde",IF(G6&gt;=1,"Amarillo",IF(G6&gt;=0.5,"Naranja","Rojo"))))</f>
        <v/>
      </c>
      <c r="I6" s="11">
        <f>IF(OR(B6="",N('3 Sistema'!$C$33)=0),"",MAX(0,F6-'3 Sistema'!$C$33))</f>
        <v/>
      </c>
      <c r="J6" s="11">
        <f>IF(I6="","",I6*0.1)</f>
        <v/>
      </c>
      <c r="K6" s="11">
        <f>IF(I6="","",I6*0.9)</f>
        <v/>
      </c>
    </row>
    <row r="7">
      <c r="A7" s="28" t="n"/>
      <c r="B7" s="10" t="n"/>
      <c r="C7" s="21">
        <f>IF(B7="","",IF(OR(C6="Normal",B7&gt;=2*'3 Sistema'!$C$15),"Normal","Arranque"))</f>
        <v/>
      </c>
      <c r="D7" s="11">
        <f>IF(B7="","",IF(B7&gt;=2*'3 Sistema'!$C$15,'3 Sistema'!$C$15,IF(C7="Arranque",MIN('3 Sistema'!$C$22,B7),IF(B7-'3 Sistema'!$C$20&gt;=0.5*'3 Sistema'!$C$15,'3 Sistema'!$C$20,MIN('3 Sistema'!$C$19,B7)))))</f>
        <v/>
      </c>
      <c r="E7" s="10" t="n"/>
      <c r="F7" s="11">
        <f>IF(B7="","",B7-IF(E7="",D7,E7))</f>
        <v/>
      </c>
      <c r="G7" s="31">
        <f>IF(B7="","",IFERROR(F7/'3 Sistema'!$C$15,0))</f>
        <v/>
      </c>
      <c r="H7" s="21">
        <f>IF(B7="","",IF(G7&gt;=3,"Verde",IF(G7&gt;=1,"Amarillo",IF(G7&gt;=0.5,"Naranja","Rojo"))))</f>
        <v/>
      </c>
      <c r="I7" s="11">
        <f>IF(OR(B7="",N('3 Sistema'!$C$33)=0),"",MAX(0,F7-'3 Sistema'!$C$33))</f>
        <v/>
      </c>
      <c r="J7" s="11">
        <f>IF(I7="","",I7*0.1)</f>
        <v/>
      </c>
      <c r="K7" s="11">
        <f>IF(I7="","",I7*0.9)</f>
        <v/>
      </c>
    </row>
    <row r="8">
      <c r="A8" s="28" t="n"/>
      <c r="B8" s="10" t="n"/>
      <c r="C8" s="21">
        <f>IF(B8="","",IF(OR(C7="Normal",B8&gt;=2*'3 Sistema'!$C$15),"Normal","Arranque"))</f>
        <v/>
      </c>
      <c r="D8" s="11">
        <f>IF(B8="","",IF(B8&gt;=2*'3 Sistema'!$C$15,'3 Sistema'!$C$15,IF(C8="Arranque",MIN('3 Sistema'!$C$22,B8),IF(B8-'3 Sistema'!$C$20&gt;=0.5*'3 Sistema'!$C$15,'3 Sistema'!$C$20,MIN('3 Sistema'!$C$19,B8)))))</f>
        <v/>
      </c>
      <c r="E8" s="10" t="n"/>
      <c r="F8" s="11">
        <f>IF(B8="","",B8-IF(E8="",D8,E8))</f>
        <v/>
      </c>
      <c r="G8" s="31">
        <f>IF(B8="","",IFERROR(F8/'3 Sistema'!$C$15,0))</f>
        <v/>
      </c>
      <c r="H8" s="21">
        <f>IF(B8="","",IF(G8&gt;=3,"Verde",IF(G8&gt;=1,"Amarillo",IF(G8&gt;=0.5,"Naranja","Rojo"))))</f>
        <v/>
      </c>
      <c r="I8" s="11">
        <f>IF(OR(B8="",N('3 Sistema'!$C$33)=0),"",MAX(0,F8-'3 Sistema'!$C$33))</f>
        <v/>
      </c>
      <c r="J8" s="11">
        <f>IF(I8="","",I8*0.1)</f>
        <v/>
      </c>
      <c r="K8" s="11">
        <f>IF(I8="","",I8*0.9)</f>
        <v/>
      </c>
    </row>
    <row r="9">
      <c r="A9" s="28" t="n"/>
      <c r="B9" s="10" t="n"/>
      <c r="C9" s="21">
        <f>IF(B9="","",IF(OR(C8="Normal",B9&gt;=2*'3 Sistema'!$C$15),"Normal","Arranque"))</f>
        <v/>
      </c>
      <c r="D9" s="11">
        <f>IF(B9="","",IF(B9&gt;=2*'3 Sistema'!$C$15,'3 Sistema'!$C$15,IF(C9="Arranque",MIN('3 Sistema'!$C$22,B9),IF(B9-'3 Sistema'!$C$20&gt;=0.5*'3 Sistema'!$C$15,'3 Sistema'!$C$20,MIN('3 Sistema'!$C$19,B9)))))</f>
        <v/>
      </c>
      <c r="E9" s="10" t="n"/>
      <c r="F9" s="11">
        <f>IF(B9="","",B9-IF(E9="",D9,E9))</f>
        <v/>
      </c>
      <c r="G9" s="31">
        <f>IF(B9="","",IFERROR(F9/'3 Sistema'!$C$15,0))</f>
        <v/>
      </c>
      <c r="H9" s="21">
        <f>IF(B9="","",IF(G9&gt;=3,"Verde",IF(G9&gt;=1,"Amarillo",IF(G9&gt;=0.5,"Naranja","Rojo"))))</f>
        <v/>
      </c>
      <c r="I9" s="11">
        <f>IF(OR(B9="",N('3 Sistema'!$C$33)=0),"",MAX(0,F9-'3 Sistema'!$C$33))</f>
        <v/>
      </c>
      <c r="J9" s="11">
        <f>IF(I9="","",I9*0.1)</f>
        <v/>
      </c>
      <c r="K9" s="11">
        <f>IF(I9="","",I9*0.9)</f>
        <v/>
      </c>
    </row>
    <row r="10">
      <c r="A10" s="28" t="n"/>
      <c r="B10" s="10" t="n"/>
      <c r="C10" s="21">
        <f>IF(B10="","",IF(OR(C9="Normal",B10&gt;=2*'3 Sistema'!$C$15),"Normal","Arranque"))</f>
        <v/>
      </c>
      <c r="D10" s="11">
        <f>IF(B10="","",IF(B10&gt;=2*'3 Sistema'!$C$15,'3 Sistema'!$C$15,IF(C10="Arranque",MIN('3 Sistema'!$C$22,B10),IF(B10-'3 Sistema'!$C$20&gt;=0.5*'3 Sistema'!$C$15,'3 Sistema'!$C$20,MIN('3 Sistema'!$C$19,B10)))))</f>
        <v/>
      </c>
      <c r="E10" s="10" t="n"/>
      <c r="F10" s="11">
        <f>IF(B10="","",B10-IF(E10="",D10,E10))</f>
        <v/>
      </c>
      <c r="G10" s="31">
        <f>IF(B10="","",IFERROR(F10/'3 Sistema'!$C$15,0))</f>
        <v/>
      </c>
      <c r="H10" s="21">
        <f>IF(B10="","",IF(G10&gt;=3,"Verde",IF(G10&gt;=1,"Amarillo",IF(G10&gt;=0.5,"Naranja","Rojo"))))</f>
        <v/>
      </c>
      <c r="I10" s="11">
        <f>IF(OR(B10="",N('3 Sistema'!$C$33)=0),"",MAX(0,F10-'3 Sistema'!$C$33))</f>
        <v/>
      </c>
      <c r="J10" s="11">
        <f>IF(I10="","",I10*0.1)</f>
        <v/>
      </c>
      <c r="K10" s="11">
        <f>IF(I10="","",I10*0.9)</f>
        <v/>
      </c>
    </row>
    <row r="11">
      <c r="A11" s="28" t="n"/>
      <c r="B11" s="10" t="n"/>
      <c r="C11" s="21">
        <f>IF(B11="","",IF(OR(C10="Normal",B11&gt;=2*'3 Sistema'!$C$15),"Normal","Arranque"))</f>
        <v/>
      </c>
      <c r="D11" s="11">
        <f>IF(B11="","",IF(B11&gt;=2*'3 Sistema'!$C$15,'3 Sistema'!$C$15,IF(C11="Arranque",MIN('3 Sistema'!$C$22,B11),IF(B11-'3 Sistema'!$C$20&gt;=0.5*'3 Sistema'!$C$15,'3 Sistema'!$C$20,MIN('3 Sistema'!$C$19,B11)))))</f>
        <v/>
      </c>
      <c r="E11" s="10" t="n"/>
      <c r="F11" s="11">
        <f>IF(B11="","",B11-IF(E11="",D11,E11))</f>
        <v/>
      </c>
      <c r="G11" s="31">
        <f>IF(B11="","",IFERROR(F11/'3 Sistema'!$C$15,0))</f>
        <v/>
      </c>
      <c r="H11" s="21">
        <f>IF(B11="","",IF(G11&gt;=3,"Verde",IF(G11&gt;=1,"Amarillo",IF(G11&gt;=0.5,"Naranja","Rojo"))))</f>
        <v/>
      </c>
      <c r="I11" s="11">
        <f>IF(OR(B11="",N('3 Sistema'!$C$33)=0),"",MAX(0,F11-'3 Sistema'!$C$33))</f>
        <v/>
      </c>
      <c r="J11" s="11">
        <f>IF(I11="","",I11*0.1)</f>
        <v/>
      </c>
      <c r="K11" s="11">
        <f>IF(I11="","",I11*0.9)</f>
        <v/>
      </c>
    </row>
    <row r="12">
      <c r="A12" s="28" t="n"/>
      <c r="B12" s="10" t="n"/>
      <c r="C12" s="21">
        <f>IF(B12="","",IF(OR(C11="Normal",B12&gt;=2*'3 Sistema'!$C$15),"Normal","Arranque"))</f>
        <v/>
      </c>
      <c r="D12" s="11">
        <f>IF(B12="","",IF(B12&gt;=2*'3 Sistema'!$C$15,'3 Sistema'!$C$15,IF(C12="Arranque",MIN('3 Sistema'!$C$22,B12),IF(B12-'3 Sistema'!$C$20&gt;=0.5*'3 Sistema'!$C$15,'3 Sistema'!$C$20,MIN('3 Sistema'!$C$19,B12)))))</f>
        <v/>
      </c>
      <c r="E12" s="10" t="n"/>
      <c r="F12" s="11">
        <f>IF(B12="","",B12-IF(E12="",D12,E12))</f>
        <v/>
      </c>
      <c r="G12" s="31">
        <f>IF(B12="","",IFERROR(F12/'3 Sistema'!$C$15,0))</f>
        <v/>
      </c>
      <c r="H12" s="21">
        <f>IF(B12="","",IF(G12&gt;=3,"Verde",IF(G12&gt;=1,"Amarillo",IF(G12&gt;=0.5,"Naranja","Rojo"))))</f>
        <v/>
      </c>
      <c r="I12" s="11">
        <f>IF(OR(B12="",N('3 Sistema'!$C$33)=0),"",MAX(0,F12-'3 Sistema'!$C$33))</f>
        <v/>
      </c>
      <c r="J12" s="11">
        <f>IF(I12="","",I12*0.1)</f>
        <v/>
      </c>
      <c r="K12" s="11">
        <f>IF(I12="","",I12*0.9)</f>
        <v/>
      </c>
    </row>
    <row r="13">
      <c r="A13" s="28" t="n"/>
      <c r="B13" s="10" t="n"/>
      <c r="C13" s="21">
        <f>IF(B13="","",IF(OR(C12="Normal",B13&gt;=2*'3 Sistema'!$C$15),"Normal","Arranque"))</f>
        <v/>
      </c>
      <c r="D13" s="11">
        <f>IF(B13="","",IF(B13&gt;=2*'3 Sistema'!$C$15,'3 Sistema'!$C$15,IF(C13="Arranque",MIN('3 Sistema'!$C$22,B13),IF(B13-'3 Sistema'!$C$20&gt;=0.5*'3 Sistema'!$C$15,'3 Sistema'!$C$20,MIN('3 Sistema'!$C$19,B13)))))</f>
        <v/>
      </c>
      <c r="E13" s="10" t="n"/>
      <c r="F13" s="11">
        <f>IF(B13="","",B13-IF(E13="",D13,E13))</f>
        <v/>
      </c>
      <c r="G13" s="31">
        <f>IF(B13="","",IFERROR(F13/'3 Sistema'!$C$15,0))</f>
        <v/>
      </c>
      <c r="H13" s="21">
        <f>IF(B13="","",IF(G13&gt;=3,"Verde",IF(G13&gt;=1,"Amarillo",IF(G13&gt;=0.5,"Naranja","Rojo"))))</f>
        <v/>
      </c>
      <c r="I13" s="11">
        <f>IF(OR(B13="",N('3 Sistema'!$C$33)=0),"",MAX(0,F13-'3 Sistema'!$C$33))</f>
        <v/>
      </c>
      <c r="J13" s="11">
        <f>IF(I13="","",I13*0.1)</f>
        <v/>
      </c>
      <c r="K13" s="11">
        <f>IF(I13="","",I13*0.9)</f>
        <v/>
      </c>
    </row>
    <row r="14">
      <c r="A14" s="28" t="n"/>
      <c r="B14" s="10" t="n"/>
      <c r="C14" s="21">
        <f>IF(B14="","",IF(OR(C13="Normal",B14&gt;=2*'3 Sistema'!$C$15),"Normal","Arranque"))</f>
        <v/>
      </c>
      <c r="D14" s="11">
        <f>IF(B14="","",IF(B14&gt;=2*'3 Sistema'!$C$15,'3 Sistema'!$C$15,IF(C14="Arranque",MIN('3 Sistema'!$C$22,B14),IF(B14-'3 Sistema'!$C$20&gt;=0.5*'3 Sistema'!$C$15,'3 Sistema'!$C$20,MIN('3 Sistema'!$C$19,B14)))))</f>
        <v/>
      </c>
      <c r="E14" s="10" t="n"/>
      <c r="F14" s="11">
        <f>IF(B14="","",B14-IF(E14="",D14,E14))</f>
        <v/>
      </c>
      <c r="G14" s="31">
        <f>IF(B14="","",IFERROR(F14/'3 Sistema'!$C$15,0))</f>
        <v/>
      </c>
      <c r="H14" s="21">
        <f>IF(B14="","",IF(G14&gt;=3,"Verde",IF(G14&gt;=1,"Amarillo",IF(G14&gt;=0.5,"Naranja","Rojo"))))</f>
        <v/>
      </c>
      <c r="I14" s="11">
        <f>IF(OR(B14="",N('3 Sistema'!$C$33)=0),"",MAX(0,F14-'3 Sistema'!$C$33))</f>
        <v/>
      </c>
      <c r="J14" s="11">
        <f>IF(I14="","",I14*0.1)</f>
        <v/>
      </c>
      <c r="K14" s="11">
        <f>IF(I14="","",I14*0.9)</f>
        <v/>
      </c>
    </row>
    <row r="15">
      <c r="A15" s="28" t="n"/>
      <c r="B15" s="10" t="n"/>
      <c r="C15" s="21">
        <f>IF(B15="","",IF(OR(C14="Normal",B15&gt;=2*'3 Sistema'!$C$15),"Normal","Arranque"))</f>
        <v/>
      </c>
      <c r="D15" s="11">
        <f>IF(B15="","",IF(B15&gt;=2*'3 Sistema'!$C$15,'3 Sistema'!$C$15,IF(C15="Arranque",MIN('3 Sistema'!$C$22,B15),IF(B15-'3 Sistema'!$C$20&gt;=0.5*'3 Sistema'!$C$15,'3 Sistema'!$C$20,MIN('3 Sistema'!$C$19,B15)))))</f>
        <v/>
      </c>
      <c r="E15" s="10" t="n"/>
      <c r="F15" s="11">
        <f>IF(B15="","",B15-IF(E15="",D15,E15))</f>
        <v/>
      </c>
      <c r="G15" s="31">
        <f>IF(B15="","",IFERROR(F15/'3 Sistema'!$C$15,0))</f>
        <v/>
      </c>
      <c r="H15" s="21">
        <f>IF(B15="","",IF(G15&gt;=3,"Verde",IF(G15&gt;=1,"Amarillo",IF(G15&gt;=0.5,"Naranja","Rojo"))))</f>
        <v/>
      </c>
      <c r="I15" s="11">
        <f>IF(OR(B15="",N('3 Sistema'!$C$33)=0),"",MAX(0,F15-'3 Sistema'!$C$33))</f>
        <v/>
      </c>
      <c r="J15" s="11">
        <f>IF(I15="","",I15*0.1)</f>
        <v/>
      </c>
      <c r="K15" s="11">
        <f>IF(I15="","",I15*0.9)</f>
        <v/>
      </c>
    </row>
    <row r="16">
      <c r="A16" s="28" t="n"/>
      <c r="B16" s="10" t="n"/>
      <c r="C16" s="21">
        <f>IF(B16="","",IF(OR(C15="Normal",B16&gt;=2*'3 Sistema'!$C$15),"Normal","Arranque"))</f>
        <v/>
      </c>
      <c r="D16" s="11">
        <f>IF(B16="","",IF(B16&gt;=2*'3 Sistema'!$C$15,'3 Sistema'!$C$15,IF(C16="Arranque",MIN('3 Sistema'!$C$22,B16),IF(B16-'3 Sistema'!$C$20&gt;=0.5*'3 Sistema'!$C$15,'3 Sistema'!$C$20,MIN('3 Sistema'!$C$19,B16)))))</f>
        <v/>
      </c>
      <c r="E16" s="10" t="n"/>
      <c r="F16" s="11">
        <f>IF(B16="","",B16-IF(E16="",D16,E16))</f>
        <v/>
      </c>
      <c r="G16" s="31">
        <f>IF(B16="","",IFERROR(F16/'3 Sistema'!$C$15,0))</f>
        <v/>
      </c>
      <c r="H16" s="21">
        <f>IF(B16="","",IF(G16&gt;=3,"Verde",IF(G16&gt;=1,"Amarillo",IF(G16&gt;=0.5,"Naranja","Rojo"))))</f>
        <v/>
      </c>
      <c r="I16" s="11">
        <f>IF(OR(B16="",N('3 Sistema'!$C$33)=0),"",MAX(0,F16-'3 Sistema'!$C$33))</f>
        <v/>
      </c>
      <c r="J16" s="11">
        <f>IF(I16="","",I16*0.1)</f>
        <v/>
      </c>
      <c r="K16" s="11">
        <f>IF(I16="","",I16*0.9)</f>
        <v/>
      </c>
    </row>
    <row r="17">
      <c r="A17" s="28" t="n"/>
      <c r="B17" s="10" t="n"/>
      <c r="C17" s="21">
        <f>IF(B17="","",IF(OR(C16="Normal",B17&gt;=2*'3 Sistema'!$C$15),"Normal","Arranque"))</f>
        <v/>
      </c>
      <c r="D17" s="11">
        <f>IF(B17="","",IF(B17&gt;=2*'3 Sistema'!$C$15,'3 Sistema'!$C$15,IF(C17="Arranque",MIN('3 Sistema'!$C$22,B17),IF(B17-'3 Sistema'!$C$20&gt;=0.5*'3 Sistema'!$C$15,'3 Sistema'!$C$20,MIN('3 Sistema'!$C$19,B17)))))</f>
        <v/>
      </c>
      <c r="E17" s="10" t="n"/>
      <c r="F17" s="11">
        <f>IF(B17="","",B17-IF(E17="",D17,E17))</f>
        <v/>
      </c>
      <c r="G17" s="31">
        <f>IF(B17="","",IFERROR(F17/'3 Sistema'!$C$15,0))</f>
        <v/>
      </c>
      <c r="H17" s="21">
        <f>IF(B17="","",IF(G17&gt;=3,"Verde",IF(G17&gt;=1,"Amarillo",IF(G17&gt;=0.5,"Naranja","Rojo"))))</f>
        <v/>
      </c>
      <c r="I17" s="11">
        <f>IF(OR(B17="",N('3 Sistema'!$C$33)=0),"",MAX(0,F17-'3 Sistema'!$C$33))</f>
        <v/>
      </c>
      <c r="J17" s="11">
        <f>IF(I17="","",I17*0.1)</f>
        <v/>
      </c>
      <c r="K17" s="11">
        <f>IF(I17="","",I17*0.9)</f>
        <v/>
      </c>
    </row>
    <row r="18">
      <c r="A18" s="28" t="n"/>
      <c r="B18" s="10" t="n"/>
      <c r="C18" s="21">
        <f>IF(B18="","",IF(OR(C17="Normal",B18&gt;=2*'3 Sistema'!$C$15),"Normal","Arranque"))</f>
        <v/>
      </c>
      <c r="D18" s="11">
        <f>IF(B18="","",IF(B18&gt;=2*'3 Sistema'!$C$15,'3 Sistema'!$C$15,IF(C18="Arranque",MIN('3 Sistema'!$C$22,B18),IF(B18-'3 Sistema'!$C$20&gt;=0.5*'3 Sistema'!$C$15,'3 Sistema'!$C$20,MIN('3 Sistema'!$C$19,B18)))))</f>
        <v/>
      </c>
      <c r="E18" s="10" t="n"/>
      <c r="F18" s="11">
        <f>IF(B18="","",B18-IF(E18="",D18,E18))</f>
        <v/>
      </c>
      <c r="G18" s="31">
        <f>IF(B18="","",IFERROR(F18/'3 Sistema'!$C$15,0))</f>
        <v/>
      </c>
      <c r="H18" s="21">
        <f>IF(B18="","",IF(G18&gt;=3,"Verde",IF(G18&gt;=1,"Amarillo",IF(G18&gt;=0.5,"Naranja","Rojo"))))</f>
        <v/>
      </c>
      <c r="I18" s="11">
        <f>IF(OR(B18="",N('3 Sistema'!$C$33)=0),"",MAX(0,F18-'3 Sistema'!$C$33))</f>
        <v/>
      </c>
      <c r="J18" s="11">
        <f>IF(I18="","",I18*0.1)</f>
        <v/>
      </c>
      <c r="K18" s="11">
        <f>IF(I18="","",I18*0.9)</f>
        <v/>
      </c>
    </row>
    <row r="19">
      <c r="A19" s="28" t="n"/>
      <c r="B19" s="10" t="n"/>
      <c r="C19" s="21">
        <f>IF(B19="","",IF(OR(C18="Normal",B19&gt;=2*'3 Sistema'!$C$15),"Normal","Arranque"))</f>
        <v/>
      </c>
      <c r="D19" s="11">
        <f>IF(B19="","",IF(B19&gt;=2*'3 Sistema'!$C$15,'3 Sistema'!$C$15,IF(C19="Arranque",MIN('3 Sistema'!$C$22,B19),IF(B19-'3 Sistema'!$C$20&gt;=0.5*'3 Sistema'!$C$15,'3 Sistema'!$C$20,MIN('3 Sistema'!$C$19,B19)))))</f>
        <v/>
      </c>
      <c r="E19" s="10" t="n"/>
      <c r="F19" s="11">
        <f>IF(B19="","",B19-IF(E19="",D19,E19))</f>
        <v/>
      </c>
      <c r="G19" s="31">
        <f>IF(B19="","",IFERROR(F19/'3 Sistema'!$C$15,0))</f>
        <v/>
      </c>
      <c r="H19" s="21">
        <f>IF(B19="","",IF(G19&gt;=3,"Verde",IF(G19&gt;=1,"Amarillo",IF(G19&gt;=0.5,"Naranja","Rojo"))))</f>
        <v/>
      </c>
      <c r="I19" s="11">
        <f>IF(OR(B19="",N('3 Sistema'!$C$33)=0),"",MAX(0,F19-'3 Sistema'!$C$33))</f>
        <v/>
      </c>
      <c r="J19" s="11">
        <f>IF(I19="","",I19*0.1)</f>
        <v/>
      </c>
      <c r="K19" s="11">
        <f>IF(I19="","",I19*0.9)</f>
        <v/>
      </c>
    </row>
    <row r="20">
      <c r="A20" s="28" t="n"/>
      <c r="B20" s="10" t="n"/>
      <c r="C20" s="21">
        <f>IF(B20="","",IF(OR(C19="Normal",B20&gt;=2*'3 Sistema'!$C$15),"Normal","Arranque"))</f>
        <v/>
      </c>
      <c r="D20" s="11">
        <f>IF(B20="","",IF(B20&gt;=2*'3 Sistema'!$C$15,'3 Sistema'!$C$15,IF(C20="Arranque",MIN('3 Sistema'!$C$22,B20),IF(B20-'3 Sistema'!$C$20&gt;=0.5*'3 Sistema'!$C$15,'3 Sistema'!$C$20,MIN('3 Sistema'!$C$19,B20)))))</f>
        <v/>
      </c>
      <c r="E20" s="10" t="n"/>
      <c r="F20" s="11">
        <f>IF(B20="","",B20-IF(E20="",D20,E20))</f>
        <v/>
      </c>
      <c r="G20" s="31">
        <f>IF(B20="","",IFERROR(F20/'3 Sistema'!$C$15,0))</f>
        <v/>
      </c>
      <c r="H20" s="21">
        <f>IF(B20="","",IF(G20&gt;=3,"Verde",IF(G20&gt;=1,"Amarillo",IF(G20&gt;=0.5,"Naranja","Rojo"))))</f>
        <v/>
      </c>
      <c r="I20" s="11">
        <f>IF(OR(B20="",N('3 Sistema'!$C$33)=0),"",MAX(0,F20-'3 Sistema'!$C$33))</f>
        <v/>
      </c>
      <c r="J20" s="11">
        <f>IF(I20="","",I20*0.1)</f>
        <v/>
      </c>
      <c r="K20" s="11">
        <f>IF(I20="","",I20*0.9)</f>
        <v/>
      </c>
    </row>
    <row r="21">
      <c r="A21" s="28" t="n"/>
      <c r="B21" s="10" t="n"/>
      <c r="C21" s="21">
        <f>IF(B21="","",IF(OR(C20="Normal",B21&gt;=2*'3 Sistema'!$C$15),"Normal","Arranque"))</f>
        <v/>
      </c>
      <c r="D21" s="11">
        <f>IF(B21="","",IF(B21&gt;=2*'3 Sistema'!$C$15,'3 Sistema'!$C$15,IF(C21="Arranque",MIN('3 Sistema'!$C$22,B21),IF(B21-'3 Sistema'!$C$20&gt;=0.5*'3 Sistema'!$C$15,'3 Sistema'!$C$20,MIN('3 Sistema'!$C$19,B21)))))</f>
        <v/>
      </c>
      <c r="E21" s="10" t="n"/>
      <c r="F21" s="11">
        <f>IF(B21="","",B21-IF(E21="",D21,E21))</f>
        <v/>
      </c>
      <c r="G21" s="31">
        <f>IF(B21="","",IFERROR(F21/'3 Sistema'!$C$15,0))</f>
        <v/>
      </c>
      <c r="H21" s="21">
        <f>IF(B21="","",IF(G21&gt;=3,"Verde",IF(G21&gt;=1,"Amarillo",IF(G21&gt;=0.5,"Naranja","Rojo"))))</f>
        <v/>
      </c>
      <c r="I21" s="11">
        <f>IF(OR(B21="",N('3 Sistema'!$C$33)=0),"",MAX(0,F21-'3 Sistema'!$C$33))</f>
        <v/>
      </c>
      <c r="J21" s="11">
        <f>IF(I21="","",I21*0.1)</f>
        <v/>
      </c>
      <c r="K21" s="11">
        <f>IF(I21="","",I21*0.9)</f>
        <v/>
      </c>
    </row>
    <row r="22">
      <c r="A22" s="28" t="n"/>
      <c r="B22" s="10" t="n"/>
      <c r="C22" s="21">
        <f>IF(B22="","",IF(OR(C21="Normal",B22&gt;=2*'3 Sistema'!$C$15),"Normal","Arranque"))</f>
        <v/>
      </c>
      <c r="D22" s="11">
        <f>IF(B22="","",IF(B22&gt;=2*'3 Sistema'!$C$15,'3 Sistema'!$C$15,IF(C22="Arranque",MIN('3 Sistema'!$C$22,B22),IF(B22-'3 Sistema'!$C$20&gt;=0.5*'3 Sistema'!$C$15,'3 Sistema'!$C$20,MIN('3 Sistema'!$C$19,B22)))))</f>
        <v/>
      </c>
      <c r="E22" s="10" t="n"/>
      <c r="F22" s="11">
        <f>IF(B22="","",B22-IF(E22="",D22,E22))</f>
        <v/>
      </c>
      <c r="G22" s="31">
        <f>IF(B22="","",IFERROR(F22/'3 Sistema'!$C$15,0))</f>
        <v/>
      </c>
      <c r="H22" s="21">
        <f>IF(B22="","",IF(G22&gt;=3,"Verde",IF(G22&gt;=1,"Amarillo",IF(G22&gt;=0.5,"Naranja","Rojo"))))</f>
        <v/>
      </c>
      <c r="I22" s="11">
        <f>IF(OR(B22="",N('3 Sistema'!$C$33)=0),"",MAX(0,F22-'3 Sistema'!$C$33))</f>
        <v/>
      </c>
      <c r="J22" s="11">
        <f>IF(I22="","",I22*0.1)</f>
        <v/>
      </c>
      <c r="K22" s="11">
        <f>IF(I22="","",I22*0.9)</f>
        <v/>
      </c>
    </row>
    <row r="23">
      <c r="A23" s="28" t="n"/>
      <c r="B23" s="10" t="n"/>
      <c r="C23" s="21">
        <f>IF(B23="","",IF(OR(C22="Normal",B23&gt;=2*'3 Sistema'!$C$15),"Normal","Arranque"))</f>
        <v/>
      </c>
      <c r="D23" s="11">
        <f>IF(B23="","",IF(B23&gt;=2*'3 Sistema'!$C$15,'3 Sistema'!$C$15,IF(C23="Arranque",MIN('3 Sistema'!$C$22,B23),IF(B23-'3 Sistema'!$C$20&gt;=0.5*'3 Sistema'!$C$15,'3 Sistema'!$C$20,MIN('3 Sistema'!$C$19,B23)))))</f>
        <v/>
      </c>
      <c r="E23" s="10" t="n"/>
      <c r="F23" s="11">
        <f>IF(B23="","",B23-IF(E23="",D23,E23))</f>
        <v/>
      </c>
      <c r="G23" s="31">
        <f>IF(B23="","",IFERROR(F23/'3 Sistema'!$C$15,0))</f>
        <v/>
      </c>
      <c r="H23" s="21">
        <f>IF(B23="","",IF(G23&gt;=3,"Verde",IF(G23&gt;=1,"Amarillo",IF(G23&gt;=0.5,"Naranja","Rojo"))))</f>
        <v/>
      </c>
      <c r="I23" s="11">
        <f>IF(OR(B23="",N('3 Sistema'!$C$33)=0),"",MAX(0,F23-'3 Sistema'!$C$33))</f>
        <v/>
      </c>
      <c r="J23" s="11">
        <f>IF(I23="","",I23*0.1)</f>
        <v/>
      </c>
      <c r="K23" s="11">
        <f>IF(I23="","",I23*0.9)</f>
        <v/>
      </c>
    </row>
    <row r="24">
      <c r="A24" s="28" t="n"/>
      <c r="B24" s="10" t="n"/>
      <c r="C24" s="21">
        <f>IF(B24="","",IF(OR(C23="Normal",B24&gt;=2*'3 Sistema'!$C$15),"Normal","Arranque"))</f>
        <v/>
      </c>
      <c r="D24" s="11">
        <f>IF(B24="","",IF(B24&gt;=2*'3 Sistema'!$C$15,'3 Sistema'!$C$15,IF(C24="Arranque",MIN('3 Sistema'!$C$22,B24),IF(B24-'3 Sistema'!$C$20&gt;=0.5*'3 Sistema'!$C$15,'3 Sistema'!$C$20,MIN('3 Sistema'!$C$19,B24)))))</f>
        <v/>
      </c>
      <c r="E24" s="10" t="n"/>
      <c r="F24" s="11">
        <f>IF(B24="","",B24-IF(E24="",D24,E24))</f>
        <v/>
      </c>
      <c r="G24" s="31">
        <f>IF(B24="","",IFERROR(F24/'3 Sistema'!$C$15,0))</f>
        <v/>
      </c>
      <c r="H24" s="21">
        <f>IF(B24="","",IF(G24&gt;=3,"Verde",IF(G24&gt;=1,"Amarillo",IF(G24&gt;=0.5,"Naranja","Rojo"))))</f>
        <v/>
      </c>
      <c r="I24" s="11">
        <f>IF(OR(B24="",N('3 Sistema'!$C$33)=0),"",MAX(0,F24-'3 Sistema'!$C$33))</f>
        <v/>
      </c>
      <c r="J24" s="11">
        <f>IF(I24="","",I24*0.1)</f>
        <v/>
      </c>
      <c r="K24" s="11">
        <f>IF(I24="","",I24*0.9)</f>
        <v/>
      </c>
    </row>
    <row r="25">
      <c r="A25" s="28" t="n"/>
      <c r="B25" s="10" t="n"/>
      <c r="C25" s="21">
        <f>IF(B25="","",IF(OR(C24="Normal",B25&gt;=2*'3 Sistema'!$C$15),"Normal","Arranque"))</f>
        <v/>
      </c>
      <c r="D25" s="11">
        <f>IF(B25="","",IF(B25&gt;=2*'3 Sistema'!$C$15,'3 Sistema'!$C$15,IF(C25="Arranque",MIN('3 Sistema'!$C$22,B25),IF(B25-'3 Sistema'!$C$20&gt;=0.5*'3 Sistema'!$C$15,'3 Sistema'!$C$20,MIN('3 Sistema'!$C$19,B25)))))</f>
        <v/>
      </c>
      <c r="E25" s="10" t="n"/>
      <c r="F25" s="11">
        <f>IF(B25="","",B25-IF(E25="",D25,E25))</f>
        <v/>
      </c>
      <c r="G25" s="31">
        <f>IF(B25="","",IFERROR(F25/'3 Sistema'!$C$15,0))</f>
        <v/>
      </c>
      <c r="H25" s="21">
        <f>IF(B25="","",IF(G25&gt;=3,"Verde",IF(G25&gt;=1,"Amarillo",IF(G25&gt;=0.5,"Naranja","Rojo"))))</f>
        <v/>
      </c>
      <c r="I25" s="11">
        <f>IF(OR(B25="",N('3 Sistema'!$C$33)=0),"",MAX(0,F25-'3 Sistema'!$C$33))</f>
        <v/>
      </c>
      <c r="J25" s="11">
        <f>IF(I25="","",I25*0.1)</f>
        <v/>
      </c>
      <c r="K25" s="11">
        <f>IF(I25="","",I25*0.9)</f>
        <v/>
      </c>
    </row>
    <row r="26">
      <c r="A26" s="28" t="n"/>
      <c r="B26" s="10" t="n"/>
      <c r="C26" s="21">
        <f>IF(B26="","",IF(OR(C25="Normal",B26&gt;=2*'3 Sistema'!$C$15),"Normal","Arranque"))</f>
        <v/>
      </c>
      <c r="D26" s="11">
        <f>IF(B26="","",IF(B26&gt;=2*'3 Sistema'!$C$15,'3 Sistema'!$C$15,IF(C26="Arranque",MIN('3 Sistema'!$C$22,B26),IF(B26-'3 Sistema'!$C$20&gt;=0.5*'3 Sistema'!$C$15,'3 Sistema'!$C$20,MIN('3 Sistema'!$C$19,B26)))))</f>
        <v/>
      </c>
      <c r="E26" s="10" t="n"/>
      <c r="F26" s="11">
        <f>IF(B26="","",B26-IF(E26="",D26,E26))</f>
        <v/>
      </c>
      <c r="G26" s="31">
        <f>IF(B26="","",IFERROR(F26/'3 Sistema'!$C$15,0))</f>
        <v/>
      </c>
      <c r="H26" s="21">
        <f>IF(B26="","",IF(G26&gt;=3,"Verde",IF(G26&gt;=1,"Amarillo",IF(G26&gt;=0.5,"Naranja","Rojo"))))</f>
        <v/>
      </c>
      <c r="I26" s="11">
        <f>IF(OR(B26="",N('3 Sistema'!$C$33)=0),"",MAX(0,F26-'3 Sistema'!$C$33))</f>
        <v/>
      </c>
      <c r="J26" s="11">
        <f>IF(I26="","",I26*0.1)</f>
        <v/>
      </c>
      <c r="K26" s="11">
        <f>IF(I26="","",I26*0.9)</f>
        <v/>
      </c>
    </row>
    <row r="27">
      <c r="A27" s="28" t="n"/>
      <c r="B27" s="10" t="n"/>
      <c r="C27" s="21">
        <f>IF(B27="","",IF(OR(C26="Normal",B27&gt;=2*'3 Sistema'!$C$15),"Normal","Arranque"))</f>
        <v/>
      </c>
      <c r="D27" s="11">
        <f>IF(B27="","",IF(B27&gt;=2*'3 Sistema'!$C$15,'3 Sistema'!$C$15,IF(C27="Arranque",MIN('3 Sistema'!$C$22,B27),IF(B27-'3 Sistema'!$C$20&gt;=0.5*'3 Sistema'!$C$15,'3 Sistema'!$C$20,MIN('3 Sistema'!$C$19,B27)))))</f>
        <v/>
      </c>
      <c r="E27" s="10" t="n"/>
      <c r="F27" s="11">
        <f>IF(B27="","",B27-IF(E27="",D27,E27))</f>
        <v/>
      </c>
      <c r="G27" s="31">
        <f>IF(B27="","",IFERROR(F27/'3 Sistema'!$C$15,0))</f>
        <v/>
      </c>
      <c r="H27" s="21">
        <f>IF(B27="","",IF(G27&gt;=3,"Verde",IF(G27&gt;=1,"Amarillo",IF(G27&gt;=0.5,"Naranja","Rojo"))))</f>
        <v/>
      </c>
      <c r="I27" s="11">
        <f>IF(OR(B27="",N('3 Sistema'!$C$33)=0),"",MAX(0,F27-'3 Sistema'!$C$33))</f>
        <v/>
      </c>
      <c r="J27" s="11">
        <f>IF(I27="","",I27*0.1)</f>
        <v/>
      </c>
      <c r="K27" s="11">
        <f>IF(I27="","",I27*0.9)</f>
        <v/>
      </c>
    </row>
    <row r="28">
      <c r="A28" s="28" t="n"/>
      <c r="B28" s="10" t="n"/>
      <c r="C28" s="21">
        <f>IF(B28="","",IF(OR(C27="Normal",B28&gt;=2*'3 Sistema'!$C$15),"Normal","Arranque"))</f>
        <v/>
      </c>
      <c r="D28" s="11">
        <f>IF(B28="","",IF(B28&gt;=2*'3 Sistema'!$C$15,'3 Sistema'!$C$15,IF(C28="Arranque",MIN('3 Sistema'!$C$22,B28),IF(B28-'3 Sistema'!$C$20&gt;=0.5*'3 Sistema'!$C$15,'3 Sistema'!$C$20,MIN('3 Sistema'!$C$19,B28)))))</f>
        <v/>
      </c>
      <c r="E28" s="10" t="n"/>
      <c r="F28" s="11">
        <f>IF(B28="","",B28-IF(E28="",D28,E28))</f>
        <v/>
      </c>
      <c r="G28" s="31">
        <f>IF(B28="","",IFERROR(F28/'3 Sistema'!$C$15,0))</f>
        <v/>
      </c>
      <c r="H28" s="21">
        <f>IF(B28="","",IF(G28&gt;=3,"Verde",IF(G28&gt;=1,"Amarillo",IF(G28&gt;=0.5,"Naranja","Rojo"))))</f>
        <v/>
      </c>
      <c r="I28" s="11">
        <f>IF(OR(B28="",N('3 Sistema'!$C$33)=0),"",MAX(0,F28-'3 Sistema'!$C$33))</f>
        <v/>
      </c>
      <c r="J28" s="11">
        <f>IF(I28="","",I28*0.1)</f>
        <v/>
      </c>
      <c r="K28" s="11">
        <f>IF(I28="","",I28*0.9)</f>
        <v/>
      </c>
    </row>
    <row r="29">
      <c r="A29" s="28" t="n"/>
      <c r="B29" s="10" t="n"/>
      <c r="C29" s="21">
        <f>IF(B29="","",IF(OR(C28="Normal",B29&gt;=2*'3 Sistema'!$C$15),"Normal","Arranque"))</f>
        <v/>
      </c>
      <c r="D29" s="11">
        <f>IF(B29="","",IF(B29&gt;=2*'3 Sistema'!$C$15,'3 Sistema'!$C$15,IF(C29="Arranque",MIN('3 Sistema'!$C$22,B29),IF(B29-'3 Sistema'!$C$20&gt;=0.5*'3 Sistema'!$C$15,'3 Sistema'!$C$20,MIN('3 Sistema'!$C$19,B29)))))</f>
        <v/>
      </c>
      <c r="E29" s="10" t="n"/>
      <c r="F29" s="11">
        <f>IF(B29="","",B29-IF(E29="",D29,E29))</f>
        <v/>
      </c>
      <c r="G29" s="31">
        <f>IF(B29="","",IFERROR(F29/'3 Sistema'!$C$15,0))</f>
        <v/>
      </c>
      <c r="H29" s="21">
        <f>IF(B29="","",IF(G29&gt;=3,"Verde",IF(G29&gt;=1,"Amarillo",IF(G29&gt;=0.5,"Naranja","Rojo"))))</f>
        <v/>
      </c>
      <c r="I29" s="11">
        <f>IF(OR(B29="",N('3 Sistema'!$C$33)=0),"",MAX(0,F29-'3 Sistema'!$C$33))</f>
        <v/>
      </c>
      <c r="J29" s="11">
        <f>IF(I29="","",I29*0.1)</f>
        <v/>
      </c>
      <c r="K29" s="11">
        <f>IF(I29="","",I29*0.9)</f>
        <v/>
      </c>
    </row>
    <row r="30">
      <c r="A30" s="28" t="n"/>
      <c r="B30" s="10" t="n"/>
      <c r="C30" s="21">
        <f>IF(B30="","",IF(OR(C29="Normal",B30&gt;=2*'3 Sistema'!$C$15),"Normal","Arranque"))</f>
        <v/>
      </c>
      <c r="D30" s="11">
        <f>IF(B30="","",IF(B30&gt;=2*'3 Sistema'!$C$15,'3 Sistema'!$C$15,IF(C30="Arranque",MIN('3 Sistema'!$C$22,B30),IF(B30-'3 Sistema'!$C$20&gt;=0.5*'3 Sistema'!$C$15,'3 Sistema'!$C$20,MIN('3 Sistema'!$C$19,B30)))))</f>
        <v/>
      </c>
      <c r="E30" s="10" t="n"/>
      <c r="F30" s="11">
        <f>IF(B30="","",B30-IF(E30="",D30,E30))</f>
        <v/>
      </c>
      <c r="G30" s="31">
        <f>IF(B30="","",IFERROR(F30/'3 Sistema'!$C$15,0))</f>
        <v/>
      </c>
      <c r="H30" s="21">
        <f>IF(B30="","",IF(G30&gt;=3,"Verde",IF(G30&gt;=1,"Amarillo",IF(G30&gt;=0.5,"Naranja","Rojo"))))</f>
        <v/>
      </c>
      <c r="I30" s="11">
        <f>IF(OR(B30="",N('3 Sistema'!$C$33)=0),"",MAX(0,F30-'3 Sistema'!$C$33))</f>
        <v/>
      </c>
      <c r="J30" s="11">
        <f>IF(I30="","",I30*0.1)</f>
        <v/>
      </c>
      <c r="K30" s="11">
        <f>IF(I30="","",I30*0.9)</f>
        <v/>
      </c>
    </row>
    <row r="31">
      <c r="A31" s="28" t="n"/>
      <c r="B31" s="10" t="n"/>
      <c r="C31" s="21">
        <f>IF(B31="","",IF(OR(C30="Normal",B31&gt;=2*'3 Sistema'!$C$15),"Normal","Arranque"))</f>
        <v/>
      </c>
      <c r="D31" s="11">
        <f>IF(B31="","",IF(B31&gt;=2*'3 Sistema'!$C$15,'3 Sistema'!$C$15,IF(C31="Arranque",MIN('3 Sistema'!$C$22,B31),IF(B31-'3 Sistema'!$C$20&gt;=0.5*'3 Sistema'!$C$15,'3 Sistema'!$C$20,MIN('3 Sistema'!$C$19,B31)))))</f>
        <v/>
      </c>
      <c r="E31" s="10" t="n"/>
      <c r="F31" s="11">
        <f>IF(B31="","",B31-IF(E31="",D31,E31))</f>
        <v/>
      </c>
      <c r="G31" s="31">
        <f>IF(B31="","",IFERROR(F31/'3 Sistema'!$C$15,0))</f>
        <v/>
      </c>
      <c r="H31" s="21">
        <f>IF(B31="","",IF(G31&gt;=3,"Verde",IF(G31&gt;=1,"Amarillo",IF(G31&gt;=0.5,"Naranja","Rojo"))))</f>
        <v/>
      </c>
      <c r="I31" s="11">
        <f>IF(OR(B31="",N('3 Sistema'!$C$33)=0),"",MAX(0,F31-'3 Sistema'!$C$33))</f>
        <v/>
      </c>
      <c r="J31" s="11">
        <f>IF(I31="","",I31*0.1)</f>
        <v/>
      </c>
      <c r="K31" s="11">
        <f>IF(I31="","",I31*0.9)</f>
        <v/>
      </c>
    </row>
    <row r="32">
      <c r="A32" s="28" t="n"/>
      <c r="B32" s="10" t="n"/>
      <c r="C32" s="21">
        <f>IF(B32="","",IF(OR(C31="Normal",B32&gt;=2*'3 Sistema'!$C$15),"Normal","Arranque"))</f>
        <v/>
      </c>
      <c r="D32" s="11">
        <f>IF(B32="","",IF(B32&gt;=2*'3 Sistema'!$C$15,'3 Sistema'!$C$15,IF(C32="Arranque",MIN('3 Sistema'!$C$22,B32),IF(B32-'3 Sistema'!$C$20&gt;=0.5*'3 Sistema'!$C$15,'3 Sistema'!$C$20,MIN('3 Sistema'!$C$19,B32)))))</f>
        <v/>
      </c>
      <c r="E32" s="10" t="n"/>
      <c r="F32" s="11">
        <f>IF(B32="","",B32-IF(E32="",D32,E32))</f>
        <v/>
      </c>
      <c r="G32" s="31">
        <f>IF(B32="","",IFERROR(F32/'3 Sistema'!$C$15,0))</f>
        <v/>
      </c>
      <c r="H32" s="21">
        <f>IF(B32="","",IF(G32&gt;=3,"Verde",IF(G32&gt;=1,"Amarillo",IF(G32&gt;=0.5,"Naranja","Rojo"))))</f>
        <v/>
      </c>
      <c r="I32" s="11">
        <f>IF(OR(B32="",N('3 Sistema'!$C$33)=0),"",MAX(0,F32-'3 Sistema'!$C$33))</f>
        <v/>
      </c>
      <c r="J32" s="11">
        <f>IF(I32="","",I32*0.1)</f>
        <v/>
      </c>
      <c r="K32" s="11">
        <f>IF(I32="","",I32*0.9)</f>
        <v/>
      </c>
    </row>
    <row r="33">
      <c r="A33" s="28" t="n"/>
      <c r="B33" s="10" t="n"/>
      <c r="C33" s="21">
        <f>IF(B33="","",IF(OR(C32="Normal",B33&gt;=2*'3 Sistema'!$C$15),"Normal","Arranque"))</f>
        <v/>
      </c>
      <c r="D33" s="11">
        <f>IF(B33="","",IF(B33&gt;=2*'3 Sistema'!$C$15,'3 Sistema'!$C$15,IF(C33="Arranque",MIN('3 Sistema'!$C$22,B33),IF(B33-'3 Sistema'!$C$20&gt;=0.5*'3 Sistema'!$C$15,'3 Sistema'!$C$20,MIN('3 Sistema'!$C$19,B33)))))</f>
        <v/>
      </c>
      <c r="E33" s="10" t="n"/>
      <c r="F33" s="11">
        <f>IF(B33="","",B33-IF(E33="",D33,E33))</f>
        <v/>
      </c>
      <c r="G33" s="31">
        <f>IF(B33="","",IFERROR(F33/'3 Sistema'!$C$15,0))</f>
        <v/>
      </c>
      <c r="H33" s="21">
        <f>IF(B33="","",IF(G33&gt;=3,"Verde",IF(G33&gt;=1,"Amarillo",IF(G33&gt;=0.5,"Naranja","Rojo"))))</f>
        <v/>
      </c>
      <c r="I33" s="11">
        <f>IF(OR(B33="",N('3 Sistema'!$C$33)=0),"",MAX(0,F33-'3 Sistema'!$C$33))</f>
        <v/>
      </c>
      <c r="J33" s="11">
        <f>IF(I33="","",I33*0.1)</f>
        <v/>
      </c>
      <c r="K33" s="11">
        <f>IF(I33="","",I33*0.9)</f>
        <v/>
      </c>
    </row>
    <row r="34">
      <c r="A34" s="28" t="n"/>
      <c r="B34" s="10" t="n"/>
      <c r="C34" s="21">
        <f>IF(B34="","",IF(OR(C33="Normal",B34&gt;=2*'3 Sistema'!$C$15),"Normal","Arranque"))</f>
        <v/>
      </c>
      <c r="D34" s="11">
        <f>IF(B34="","",IF(B34&gt;=2*'3 Sistema'!$C$15,'3 Sistema'!$C$15,IF(C34="Arranque",MIN('3 Sistema'!$C$22,B34),IF(B34-'3 Sistema'!$C$20&gt;=0.5*'3 Sistema'!$C$15,'3 Sistema'!$C$20,MIN('3 Sistema'!$C$19,B34)))))</f>
        <v/>
      </c>
      <c r="E34" s="10" t="n"/>
      <c r="F34" s="11">
        <f>IF(B34="","",B34-IF(E34="",D34,E34))</f>
        <v/>
      </c>
      <c r="G34" s="31">
        <f>IF(B34="","",IFERROR(F34/'3 Sistema'!$C$15,0))</f>
        <v/>
      </c>
      <c r="H34" s="21">
        <f>IF(B34="","",IF(G34&gt;=3,"Verde",IF(G34&gt;=1,"Amarillo",IF(G34&gt;=0.5,"Naranja","Rojo"))))</f>
        <v/>
      </c>
      <c r="I34" s="11">
        <f>IF(OR(B34="",N('3 Sistema'!$C$33)=0),"",MAX(0,F34-'3 Sistema'!$C$33))</f>
        <v/>
      </c>
      <c r="J34" s="11">
        <f>IF(I34="","",I34*0.1)</f>
        <v/>
      </c>
      <c r="K34" s="11">
        <f>IF(I34="","",I34*0.9)</f>
        <v/>
      </c>
    </row>
    <row r="35">
      <c r="A35" s="28" t="n"/>
      <c r="B35" s="10" t="n"/>
      <c r="C35" s="21">
        <f>IF(B35="","",IF(OR(C34="Normal",B35&gt;=2*'3 Sistema'!$C$15),"Normal","Arranque"))</f>
        <v/>
      </c>
      <c r="D35" s="11">
        <f>IF(B35="","",IF(B35&gt;=2*'3 Sistema'!$C$15,'3 Sistema'!$C$15,IF(C35="Arranque",MIN('3 Sistema'!$C$22,B35),IF(B35-'3 Sistema'!$C$20&gt;=0.5*'3 Sistema'!$C$15,'3 Sistema'!$C$20,MIN('3 Sistema'!$C$19,B35)))))</f>
        <v/>
      </c>
      <c r="E35" s="10" t="n"/>
      <c r="F35" s="11">
        <f>IF(B35="","",B35-IF(E35="",D35,E35))</f>
        <v/>
      </c>
      <c r="G35" s="31">
        <f>IF(B35="","",IFERROR(F35/'3 Sistema'!$C$15,0))</f>
        <v/>
      </c>
      <c r="H35" s="21">
        <f>IF(B35="","",IF(G35&gt;=3,"Verde",IF(G35&gt;=1,"Amarillo",IF(G35&gt;=0.5,"Naranja","Rojo"))))</f>
        <v/>
      </c>
      <c r="I35" s="11">
        <f>IF(OR(B35="",N('3 Sistema'!$C$33)=0),"",MAX(0,F35-'3 Sistema'!$C$33))</f>
        <v/>
      </c>
      <c r="J35" s="11">
        <f>IF(I35="","",I35*0.1)</f>
        <v/>
      </c>
      <c r="K35" s="11">
        <f>IF(I35="","",I35*0.9)</f>
        <v/>
      </c>
    </row>
    <row r="36">
      <c r="A36" s="28" t="n"/>
      <c r="B36" s="10" t="n"/>
      <c r="C36" s="21">
        <f>IF(B36="","",IF(OR(C35="Normal",B36&gt;=2*'3 Sistema'!$C$15),"Normal","Arranque"))</f>
        <v/>
      </c>
      <c r="D36" s="11">
        <f>IF(B36="","",IF(B36&gt;=2*'3 Sistema'!$C$15,'3 Sistema'!$C$15,IF(C36="Arranque",MIN('3 Sistema'!$C$22,B36),IF(B36-'3 Sistema'!$C$20&gt;=0.5*'3 Sistema'!$C$15,'3 Sistema'!$C$20,MIN('3 Sistema'!$C$19,B36)))))</f>
        <v/>
      </c>
      <c r="E36" s="10" t="n"/>
      <c r="F36" s="11">
        <f>IF(B36="","",B36-IF(E36="",D36,E36))</f>
        <v/>
      </c>
      <c r="G36" s="31">
        <f>IF(B36="","",IFERROR(F36/'3 Sistema'!$C$15,0))</f>
        <v/>
      </c>
      <c r="H36" s="21">
        <f>IF(B36="","",IF(G36&gt;=3,"Verde",IF(G36&gt;=1,"Amarillo",IF(G36&gt;=0.5,"Naranja","Rojo"))))</f>
        <v/>
      </c>
      <c r="I36" s="11">
        <f>IF(OR(B36="",N('3 Sistema'!$C$33)=0),"",MAX(0,F36-'3 Sistema'!$C$33))</f>
        <v/>
      </c>
      <c r="J36" s="11">
        <f>IF(I36="","",I36*0.1)</f>
        <v/>
      </c>
      <c r="K36" s="11">
        <f>IF(I36="","",I36*0.9)</f>
        <v/>
      </c>
    </row>
    <row r="37">
      <c r="A37" s="28" t="n"/>
      <c r="B37" s="10" t="n"/>
      <c r="C37" s="21">
        <f>IF(B37="","",IF(OR(C36="Normal",B37&gt;=2*'3 Sistema'!$C$15),"Normal","Arranque"))</f>
        <v/>
      </c>
      <c r="D37" s="11">
        <f>IF(B37="","",IF(B37&gt;=2*'3 Sistema'!$C$15,'3 Sistema'!$C$15,IF(C37="Arranque",MIN('3 Sistema'!$C$22,B37),IF(B37-'3 Sistema'!$C$20&gt;=0.5*'3 Sistema'!$C$15,'3 Sistema'!$C$20,MIN('3 Sistema'!$C$19,B37)))))</f>
        <v/>
      </c>
      <c r="E37" s="10" t="n"/>
      <c r="F37" s="11">
        <f>IF(B37="","",B37-IF(E37="",D37,E37))</f>
        <v/>
      </c>
      <c r="G37" s="31">
        <f>IF(B37="","",IFERROR(F37/'3 Sistema'!$C$15,0))</f>
        <v/>
      </c>
      <c r="H37" s="21">
        <f>IF(B37="","",IF(G37&gt;=3,"Verde",IF(G37&gt;=1,"Amarillo",IF(G37&gt;=0.5,"Naranja","Rojo"))))</f>
        <v/>
      </c>
      <c r="I37" s="11">
        <f>IF(OR(B37="",N('3 Sistema'!$C$33)=0),"",MAX(0,F37-'3 Sistema'!$C$33))</f>
        <v/>
      </c>
      <c r="J37" s="11">
        <f>IF(I37="","",I37*0.1)</f>
        <v/>
      </c>
      <c r="K37" s="11">
        <f>IF(I37="","",I37*0.9)</f>
        <v/>
      </c>
    </row>
    <row r="38">
      <c r="A38" s="28" t="n"/>
      <c r="B38" s="10" t="n"/>
      <c r="C38" s="21">
        <f>IF(B38="","",IF(OR(C37="Normal",B38&gt;=2*'3 Sistema'!$C$15),"Normal","Arranque"))</f>
        <v/>
      </c>
      <c r="D38" s="11">
        <f>IF(B38="","",IF(B38&gt;=2*'3 Sistema'!$C$15,'3 Sistema'!$C$15,IF(C38="Arranque",MIN('3 Sistema'!$C$22,B38),IF(B38-'3 Sistema'!$C$20&gt;=0.5*'3 Sistema'!$C$15,'3 Sistema'!$C$20,MIN('3 Sistema'!$C$19,B38)))))</f>
        <v/>
      </c>
      <c r="E38" s="10" t="n"/>
      <c r="F38" s="11">
        <f>IF(B38="","",B38-IF(E38="",D38,E38))</f>
        <v/>
      </c>
      <c r="G38" s="31">
        <f>IF(B38="","",IFERROR(F38/'3 Sistema'!$C$15,0))</f>
        <v/>
      </c>
      <c r="H38" s="21">
        <f>IF(B38="","",IF(G38&gt;=3,"Verde",IF(G38&gt;=1,"Amarillo",IF(G38&gt;=0.5,"Naranja","Rojo"))))</f>
        <v/>
      </c>
      <c r="I38" s="11">
        <f>IF(OR(B38="",N('3 Sistema'!$C$33)=0),"",MAX(0,F38-'3 Sistema'!$C$33))</f>
        <v/>
      </c>
      <c r="J38" s="11">
        <f>IF(I38="","",I38*0.1)</f>
        <v/>
      </c>
      <c r="K38" s="11">
        <f>IF(I38="","",I38*0.9)</f>
        <v/>
      </c>
    </row>
    <row r="39">
      <c r="A39" s="28" t="n"/>
      <c r="B39" s="10" t="n"/>
      <c r="C39" s="21">
        <f>IF(B39="","",IF(OR(C38="Normal",B39&gt;=2*'3 Sistema'!$C$15),"Normal","Arranque"))</f>
        <v/>
      </c>
      <c r="D39" s="11">
        <f>IF(B39="","",IF(B39&gt;=2*'3 Sistema'!$C$15,'3 Sistema'!$C$15,IF(C39="Arranque",MIN('3 Sistema'!$C$22,B39),IF(B39-'3 Sistema'!$C$20&gt;=0.5*'3 Sistema'!$C$15,'3 Sistema'!$C$20,MIN('3 Sistema'!$C$19,B39)))))</f>
        <v/>
      </c>
      <c r="E39" s="10" t="n"/>
      <c r="F39" s="11">
        <f>IF(B39="","",B39-IF(E39="",D39,E39))</f>
        <v/>
      </c>
      <c r="G39" s="31">
        <f>IF(B39="","",IFERROR(F39/'3 Sistema'!$C$15,0))</f>
        <v/>
      </c>
      <c r="H39" s="21">
        <f>IF(B39="","",IF(G39&gt;=3,"Verde",IF(G39&gt;=1,"Amarillo",IF(G39&gt;=0.5,"Naranja","Rojo"))))</f>
        <v/>
      </c>
      <c r="I39" s="11">
        <f>IF(OR(B39="",N('3 Sistema'!$C$33)=0),"",MAX(0,F39-'3 Sistema'!$C$33))</f>
        <v/>
      </c>
      <c r="J39" s="11">
        <f>IF(I39="","",I39*0.1)</f>
        <v/>
      </c>
      <c r="K39" s="11">
        <f>IF(I39="","",I39*0.9)</f>
        <v/>
      </c>
    </row>
    <row r="40">
      <c r="A40" s="28" t="n"/>
      <c r="B40" s="10" t="n"/>
      <c r="C40" s="21">
        <f>IF(B40="","",IF(OR(C39="Normal",B40&gt;=2*'3 Sistema'!$C$15),"Normal","Arranque"))</f>
        <v/>
      </c>
      <c r="D40" s="11">
        <f>IF(B40="","",IF(B40&gt;=2*'3 Sistema'!$C$15,'3 Sistema'!$C$15,IF(C40="Arranque",MIN('3 Sistema'!$C$22,B40),IF(B40-'3 Sistema'!$C$20&gt;=0.5*'3 Sistema'!$C$15,'3 Sistema'!$C$20,MIN('3 Sistema'!$C$19,B40)))))</f>
        <v/>
      </c>
      <c r="E40" s="10" t="n"/>
      <c r="F40" s="11">
        <f>IF(B40="","",B40-IF(E40="",D40,E40))</f>
        <v/>
      </c>
      <c r="G40" s="31">
        <f>IF(B40="","",IFERROR(F40/'3 Sistema'!$C$15,0))</f>
        <v/>
      </c>
      <c r="H40" s="21">
        <f>IF(B40="","",IF(G40&gt;=3,"Verde",IF(G40&gt;=1,"Amarillo",IF(G40&gt;=0.5,"Naranja","Rojo"))))</f>
        <v/>
      </c>
      <c r="I40" s="11">
        <f>IF(OR(B40="",N('3 Sistema'!$C$33)=0),"",MAX(0,F40-'3 Sistema'!$C$33))</f>
        <v/>
      </c>
      <c r="J40" s="11">
        <f>IF(I40="","",I40*0.1)</f>
        <v/>
      </c>
      <c r="K40" s="11">
        <f>IF(I40="","",I40*0.9)</f>
        <v/>
      </c>
    </row>
    <row r="42">
      <c r="A42" s="19" t="inlineStr">
        <is>
          <t>Sueldo sugerido: sueldo meta si el embalse tiene al menos 2 sueldos meta antes de pagarte; en fase de arranque, el sueldo de arranque; después del arranque, el sueldo en modo ajuste (zona naranja) o el número de supervivencia (zona roja). Si te pagaste otro monto, anótalo en la columna E.</t>
        </is>
      </c>
    </row>
  </sheetData>
  <conditionalFormatting sqref="H5:H40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"Naranja"</formula>
    </cfRule>
    <cfRule type="cellIs" priority="4" operator="equal" dxfId="3">
      <formula>"Rojo"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7FB5"/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3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6 · Gastos irregulares y previsiones</t>
        </is>
      </c>
    </row>
    <row r="2">
      <c r="A2" s="2" t="inlineStr">
        <is>
          <t>Lista los gastos que no son mensuales, con el mes en que llegan (1 = enero … 12 = diciembre).</t>
        </is>
      </c>
    </row>
    <row r="4">
      <c r="B4" s="18" t="inlineStr">
        <is>
          <t>Total anual de gastos irregulares</t>
        </is>
      </c>
      <c r="C4" s="13">
        <f>SUM(D11:D40)</f>
        <v/>
      </c>
    </row>
    <row r="5">
      <c r="B5" s="18" t="inlineStr">
        <is>
          <t>Aporte mensual a Previsiones (total ÷ 12)</t>
        </is>
      </c>
      <c r="C5" s="13">
        <f>C4/12</f>
        <v/>
      </c>
    </row>
    <row r="6">
      <c r="B6" s="12" t="inlineStr">
        <is>
          <t>Capital semilla del primer año</t>
        </is>
      </c>
      <c r="C6" s="11">
        <f>MAX(0,-MIN(J11:J22))</f>
        <v/>
      </c>
    </row>
    <row r="7">
      <c r="B7" s="12" t="inlineStr">
        <is>
          <t>Mes en que empiezas (1 a 12)</t>
        </is>
      </c>
      <c r="C7" s="30" t="n">
        <v>1</v>
      </c>
    </row>
    <row r="10" ht="30" customHeight="1">
      <c r="B10" s="8" t="inlineStr">
        <is>
          <t>Gasto</t>
        </is>
      </c>
      <c r="C10" s="8" t="inlineStr">
        <is>
          <t>Mes (1 a 12)</t>
        </is>
      </c>
      <c r="D10" s="8" t="inlineStr">
        <is>
          <t>Monto</t>
        </is>
      </c>
      <c r="F10" s="8" t="inlineStr">
        <is>
          <t>Paso</t>
        </is>
      </c>
      <c r="G10" s="8" t="inlineStr">
        <is>
          <t>Mes</t>
        </is>
      </c>
      <c r="H10" s="8" t="inlineStr">
        <is>
          <t>Aporte</t>
        </is>
      </c>
      <c r="I10" s="8" t="inlineStr">
        <is>
          <t>Gastos</t>
        </is>
      </c>
      <c r="J10" s="8" t="inlineStr">
        <is>
          <t>Saldo simulado</t>
        </is>
      </c>
    </row>
    <row r="11">
      <c r="B11" s="9" t="n"/>
      <c r="C11" s="30" t="n"/>
      <c r="D11" s="10" t="n"/>
      <c r="F11" s="17" t="n">
        <v>1</v>
      </c>
      <c r="G11" s="17">
        <f>MOD($C$7-1+0,12)+1</f>
        <v/>
      </c>
      <c r="H11" s="11">
        <f>$C$5</f>
        <v/>
      </c>
      <c r="I11" s="11">
        <f>SUMIF($C$11:$C$40,G11,$D$11:$D$40)</f>
        <v/>
      </c>
      <c r="J11" s="11">
        <f>H11-I11</f>
        <v/>
      </c>
    </row>
    <row r="12">
      <c r="B12" s="9" t="n"/>
      <c r="C12" s="30" t="n"/>
      <c r="D12" s="10" t="n"/>
      <c r="F12" s="17" t="n">
        <v>2</v>
      </c>
      <c r="G12" s="17">
        <f>MOD($C$7-1+1,12)+1</f>
        <v/>
      </c>
      <c r="H12" s="11">
        <f>$C$5</f>
        <v/>
      </c>
      <c r="I12" s="11">
        <f>SUMIF($C$11:$C$40,G12,$D$11:$D$40)</f>
        <v/>
      </c>
      <c r="J12" s="11">
        <f>J11+H12-I12</f>
        <v/>
      </c>
    </row>
    <row r="13">
      <c r="B13" s="9" t="n"/>
      <c r="C13" s="30" t="n"/>
      <c r="D13" s="10" t="n"/>
      <c r="F13" s="17" t="n">
        <v>3</v>
      </c>
      <c r="G13" s="17">
        <f>MOD($C$7-1+2,12)+1</f>
        <v/>
      </c>
      <c r="H13" s="11">
        <f>$C$5</f>
        <v/>
      </c>
      <c r="I13" s="11">
        <f>SUMIF($C$11:$C$40,G13,$D$11:$D$40)</f>
        <v/>
      </c>
      <c r="J13" s="11">
        <f>J12+H13-I13</f>
        <v/>
      </c>
    </row>
    <row r="14">
      <c r="B14" s="9" t="n"/>
      <c r="C14" s="30" t="n"/>
      <c r="D14" s="10" t="n"/>
      <c r="F14" s="17" t="n">
        <v>4</v>
      </c>
      <c r="G14" s="17">
        <f>MOD($C$7-1+3,12)+1</f>
        <v/>
      </c>
      <c r="H14" s="11">
        <f>$C$5</f>
        <v/>
      </c>
      <c r="I14" s="11">
        <f>SUMIF($C$11:$C$40,G14,$D$11:$D$40)</f>
        <v/>
      </c>
      <c r="J14" s="11">
        <f>J13+H14-I14</f>
        <v/>
      </c>
    </row>
    <row r="15">
      <c r="B15" s="9" t="n"/>
      <c r="C15" s="30" t="n"/>
      <c r="D15" s="10" t="n"/>
      <c r="F15" s="17" t="n">
        <v>5</v>
      </c>
      <c r="G15" s="17">
        <f>MOD($C$7-1+4,12)+1</f>
        <v/>
      </c>
      <c r="H15" s="11">
        <f>$C$5</f>
        <v/>
      </c>
      <c r="I15" s="11">
        <f>SUMIF($C$11:$C$40,G15,$D$11:$D$40)</f>
        <v/>
      </c>
      <c r="J15" s="11">
        <f>J14+H15-I15</f>
        <v/>
      </c>
    </row>
    <row r="16">
      <c r="B16" s="9" t="n"/>
      <c r="C16" s="30" t="n"/>
      <c r="D16" s="10" t="n"/>
      <c r="F16" s="17" t="n">
        <v>6</v>
      </c>
      <c r="G16" s="17">
        <f>MOD($C$7-1+5,12)+1</f>
        <v/>
      </c>
      <c r="H16" s="11">
        <f>$C$5</f>
        <v/>
      </c>
      <c r="I16" s="11">
        <f>SUMIF($C$11:$C$40,G16,$D$11:$D$40)</f>
        <v/>
      </c>
      <c r="J16" s="11">
        <f>J15+H16-I16</f>
        <v/>
      </c>
    </row>
    <row r="17">
      <c r="B17" s="9" t="n"/>
      <c r="C17" s="30" t="n"/>
      <c r="D17" s="10" t="n"/>
      <c r="F17" s="17" t="n">
        <v>7</v>
      </c>
      <c r="G17" s="17">
        <f>MOD($C$7-1+6,12)+1</f>
        <v/>
      </c>
      <c r="H17" s="11">
        <f>$C$5</f>
        <v/>
      </c>
      <c r="I17" s="11">
        <f>SUMIF($C$11:$C$40,G17,$D$11:$D$40)</f>
        <v/>
      </c>
      <c r="J17" s="11">
        <f>J16+H17-I17</f>
        <v/>
      </c>
    </row>
    <row r="18">
      <c r="B18" s="9" t="n"/>
      <c r="C18" s="30" t="n"/>
      <c r="D18" s="10" t="n"/>
      <c r="F18" s="17" t="n">
        <v>8</v>
      </c>
      <c r="G18" s="17">
        <f>MOD($C$7-1+7,12)+1</f>
        <v/>
      </c>
      <c r="H18" s="11">
        <f>$C$5</f>
        <v/>
      </c>
      <c r="I18" s="11">
        <f>SUMIF($C$11:$C$40,G18,$D$11:$D$40)</f>
        <v/>
      </c>
      <c r="J18" s="11">
        <f>J17+H18-I18</f>
        <v/>
      </c>
    </row>
    <row r="19">
      <c r="B19" s="9" t="n"/>
      <c r="C19" s="30" t="n"/>
      <c r="D19" s="10" t="n"/>
      <c r="F19" s="17" t="n">
        <v>9</v>
      </c>
      <c r="G19" s="17">
        <f>MOD($C$7-1+8,12)+1</f>
        <v/>
      </c>
      <c r="H19" s="11">
        <f>$C$5</f>
        <v/>
      </c>
      <c r="I19" s="11">
        <f>SUMIF($C$11:$C$40,G19,$D$11:$D$40)</f>
        <v/>
      </c>
      <c r="J19" s="11">
        <f>J18+H19-I19</f>
        <v/>
      </c>
    </row>
    <row r="20">
      <c r="B20" s="9" t="n"/>
      <c r="C20" s="30" t="n"/>
      <c r="D20" s="10" t="n"/>
      <c r="F20" s="17" t="n">
        <v>10</v>
      </c>
      <c r="G20" s="17">
        <f>MOD($C$7-1+9,12)+1</f>
        <v/>
      </c>
      <c r="H20" s="11">
        <f>$C$5</f>
        <v/>
      </c>
      <c r="I20" s="11">
        <f>SUMIF($C$11:$C$40,G20,$D$11:$D$40)</f>
        <v/>
      </c>
      <c r="J20" s="11">
        <f>J19+H20-I20</f>
        <v/>
      </c>
    </row>
    <row r="21">
      <c r="B21" s="9" t="n"/>
      <c r="C21" s="30" t="n"/>
      <c r="D21" s="10" t="n"/>
      <c r="F21" s="17" t="n">
        <v>11</v>
      </c>
      <c r="G21" s="17">
        <f>MOD($C$7-1+10,12)+1</f>
        <v/>
      </c>
      <c r="H21" s="11">
        <f>$C$5</f>
        <v/>
      </c>
      <c r="I21" s="11">
        <f>SUMIF($C$11:$C$40,G21,$D$11:$D$40)</f>
        <v/>
      </c>
      <c r="J21" s="11">
        <f>J20+H21-I21</f>
        <v/>
      </c>
    </row>
    <row r="22">
      <c r="B22" s="9" t="n"/>
      <c r="C22" s="30" t="n"/>
      <c r="D22" s="10" t="n"/>
      <c r="F22" s="17" t="n">
        <v>12</v>
      </c>
      <c r="G22" s="17">
        <f>MOD($C$7-1+11,12)+1</f>
        <v/>
      </c>
      <c r="H22" s="11">
        <f>$C$5</f>
        <v/>
      </c>
      <c r="I22" s="11">
        <f>SUMIF($C$11:$C$40,G22,$D$11:$D$40)</f>
        <v/>
      </c>
      <c r="J22" s="11">
        <f>J21+H22-I22</f>
        <v/>
      </c>
    </row>
    <row r="23">
      <c r="B23" s="9" t="n"/>
      <c r="C23" s="30" t="n"/>
      <c r="D23" s="10" t="n"/>
    </row>
    <row r="24">
      <c r="B24" s="9" t="n"/>
      <c r="C24" s="30" t="n"/>
      <c r="D24" s="10" t="n"/>
      <c r="F24" s="19" t="inlineStr">
        <is>
          <t>Si el saldo simulado es negativo en algún mes, el capital semilla es lo que necesitas poner al empezar para que nunca falte.</t>
        </is>
      </c>
    </row>
    <row r="25">
      <c r="B25" s="9" t="n"/>
      <c r="C25" s="30" t="n"/>
      <c r="D25" s="10" t="n"/>
    </row>
    <row r="26">
      <c r="B26" s="9" t="n"/>
      <c r="C26" s="30" t="n"/>
      <c r="D26" s="10" t="n"/>
    </row>
    <row r="27">
      <c r="B27" s="9" t="n"/>
      <c r="C27" s="30" t="n"/>
      <c r="D27" s="10" t="n"/>
    </row>
    <row r="28">
      <c r="B28" s="9" t="n"/>
      <c r="C28" s="30" t="n"/>
      <c r="D28" s="10" t="n"/>
    </row>
    <row r="29">
      <c r="B29" s="9" t="n"/>
      <c r="C29" s="30" t="n"/>
      <c r="D29" s="10" t="n"/>
    </row>
    <row r="30">
      <c r="B30" s="9" t="n"/>
      <c r="C30" s="30" t="n"/>
      <c r="D30" s="10" t="n"/>
    </row>
    <row r="31">
      <c r="B31" s="9" t="n"/>
      <c r="C31" s="30" t="n"/>
      <c r="D31" s="10" t="n"/>
    </row>
    <row r="32">
      <c r="B32" s="9" t="n"/>
      <c r="C32" s="30" t="n"/>
      <c r="D32" s="10" t="n"/>
    </row>
    <row r="33">
      <c r="B33" s="9" t="n"/>
      <c r="C33" s="30" t="n"/>
      <c r="D33" s="10" t="n"/>
    </row>
    <row r="34">
      <c r="B34" s="9" t="n"/>
      <c r="C34" s="30" t="n"/>
      <c r="D34" s="10" t="n"/>
    </row>
    <row r="35">
      <c r="B35" s="9" t="n"/>
      <c r="C35" s="30" t="n"/>
      <c r="D35" s="10" t="n"/>
    </row>
    <row r="36">
      <c r="B36" s="9" t="n"/>
      <c r="C36" s="30" t="n"/>
      <c r="D36" s="10" t="n"/>
    </row>
    <row r="37">
      <c r="B37" s="9" t="n"/>
      <c r="C37" s="30" t="n"/>
      <c r="D37" s="10" t="n"/>
    </row>
    <row r="38">
      <c r="B38" s="9" t="n"/>
      <c r="C38" s="30" t="n"/>
      <c r="D38" s="10" t="n"/>
    </row>
    <row r="39">
      <c r="B39" s="9" t="n"/>
      <c r="C39" s="30" t="n"/>
      <c r="D39" s="10" t="n"/>
    </row>
    <row r="40">
      <c r="B40" s="9" t="n"/>
      <c r="C40" s="30" t="n"/>
      <c r="D40" s="10" t="n"/>
    </row>
  </sheetData>
  <conditionalFormatting sqref="J11:J22">
    <cfRule type="cellIs" priority="1" operator="lessThan" dxfId="4">
      <formula>0</formula>
    </cfRule>
  </conditionalFormatting>
  <dataValidations count="1">
    <dataValidation sqref="C11:C40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7FB5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</cols>
  <sheetData>
    <row r="1">
      <c r="A1" s="1" t="inlineStr">
        <is>
          <t>7 · Tu tarifa mínima viable</t>
        </is>
      </c>
    </row>
    <row r="2">
      <c r="A2" s="2" t="inlineStr">
        <is>
          <t>Capítulo 11. Cuánto necesitas cobrar por hora facturable para sostener todo el sistema.</t>
        </is>
      </c>
    </row>
    <row r="4">
      <c r="B4" s="12" t="inlineStr">
        <is>
          <t>Sueldo meta × 12</t>
        </is>
      </c>
      <c r="C4" s="11">
        <f>'3 Sistema'!C15*12</f>
        <v/>
      </c>
    </row>
    <row r="5">
      <c r="B5" s="12" t="inlineStr">
        <is>
          <t>Gastos de la actividad × 12</t>
        </is>
      </c>
      <c r="C5" s="11">
        <f>'3 Sistema'!C8*12</f>
        <v/>
      </c>
    </row>
    <row r="6">
      <c r="B6" s="12" t="inlineStr">
        <is>
          <t>Metas y retiro por año</t>
        </is>
      </c>
      <c r="C6" s="10" t="n"/>
    </row>
    <row r="7">
      <c r="B7" s="12" t="inlineStr">
        <is>
          <t>Ingreso neto anual necesario</t>
        </is>
      </c>
      <c r="C7" s="11">
        <f>C4+C5+N(C6)</f>
        <v/>
      </c>
    </row>
    <row r="8">
      <c r="B8" s="12" t="inlineStr">
        <is>
          <t>% de reserva de impuestos</t>
        </is>
      </c>
      <c r="C8" s="14">
        <f>'3 Sistema'!C6</f>
        <v/>
      </c>
    </row>
    <row r="9">
      <c r="B9" s="12" t="inlineStr">
        <is>
          <t>Ingreso bruto anual necesario</t>
        </is>
      </c>
      <c r="C9" s="11">
        <f>IFERROR(C7/(1-C8),0)</f>
        <v/>
      </c>
    </row>
    <row r="10">
      <c r="B10" s="12" t="inlineStr">
        <is>
          <t>Semanas de vacaciones</t>
        </is>
      </c>
      <c r="C10" s="30" t="n">
        <v>4</v>
      </c>
    </row>
    <row r="11">
      <c r="B11" s="12" t="inlineStr">
        <is>
          <t>Semanas de feriados</t>
        </is>
      </c>
      <c r="C11" s="30" t="n">
        <v>2</v>
      </c>
    </row>
    <row r="12">
      <c r="B12" s="12" t="inlineStr">
        <is>
          <t>Semanas de margen (enfermedad, imprevistos)</t>
        </is>
      </c>
      <c r="C12" s="30" t="n">
        <v>1</v>
      </c>
    </row>
    <row r="13">
      <c r="B13" s="12" t="inlineStr">
        <is>
          <t>Horas de trabajo por semana</t>
        </is>
      </c>
      <c r="C13" s="30" t="n">
        <v>40</v>
      </c>
    </row>
    <row r="14">
      <c r="B14" s="12" t="inlineStr">
        <is>
          <t>% de horas facturables</t>
        </is>
      </c>
      <c r="C14" s="25" t="n">
        <v>0.55</v>
      </c>
    </row>
    <row r="15">
      <c r="B15" s="12" t="inlineStr">
        <is>
          <t>Semanas de trabajo por año</t>
        </is>
      </c>
      <c r="C15" s="17">
        <f>52-C10-C11-C12</f>
        <v/>
      </c>
    </row>
    <row r="16">
      <c r="B16" s="12" t="inlineStr">
        <is>
          <t>Horas facturables por año</t>
        </is>
      </c>
      <c r="C16" s="11">
        <f>C15*C13*C14</f>
        <v/>
      </c>
    </row>
    <row r="17">
      <c r="B17" s="18" t="inlineStr">
        <is>
          <t>TARIFA MÍNIMA VIABLE (por hora)</t>
        </is>
      </c>
      <c r="C17" s="32">
        <f>IFERROR(C9/C16,0)</f>
        <v/>
      </c>
    </row>
    <row r="18">
      <c r="B18" s="18" t="inlineStr">
        <is>
          <t>TARIFA OBJETIVO (× 1,15)</t>
        </is>
      </c>
      <c r="C18" s="32">
        <f>C17*1.15</f>
        <v/>
      </c>
    </row>
    <row r="19">
      <c r="B19" s="12" t="inlineStr">
        <is>
          <t>Tu tarifa promedio actual (por hora)</t>
        </is>
      </c>
      <c r="C19" s="29" t="n"/>
    </row>
    <row r="20">
      <c r="B20" s="12" t="inlineStr">
        <is>
          <t>Diferencia con la tarifa objetivo</t>
        </is>
      </c>
      <c r="C20" s="27">
        <f>IF(C19="","",C19-C18)</f>
        <v/>
      </c>
    </row>
    <row r="22">
      <c r="B22" s="19" t="inlineStr">
        <is>
          <t>Para proyectos: horas estimadas × 1,2 (imprevistos) × tarifa objetivo.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7FB5"/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3" customWidth="1" min="7" max="7"/>
    <col width="36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8 · Cartera de trabajos a 90 días</t>
        </is>
      </c>
    </row>
    <row r="2">
      <c r="A2" s="2" t="inlineStr">
        <is>
          <t>Lo que esperas cobrar en los próximos tres meses. Confirmado = 100 %, Probable = 70 %, Posible = 30 % (convención práctica).</t>
        </is>
      </c>
    </row>
    <row r="4" ht="30" customHeight="1">
      <c r="A4" s="8" t="inlineStr">
        <is>
          <t>Cliente / trabajo</t>
        </is>
      </c>
      <c r="B4" s="8" t="inlineStr">
        <is>
          <t>Monto bruto</t>
        </is>
      </c>
      <c r="C4" s="8" t="inlineStr">
        <is>
          <t>Mes (1, 2 o 3)</t>
        </is>
      </c>
      <c r="D4" s="8" t="inlineStr">
        <is>
          <t>Estado</t>
        </is>
      </c>
      <c r="E4" s="8" t="inlineStr">
        <is>
          <t>Probabilidad</t>
        </is>
      </c>
      <c r="F4" s="8" t="inlineStr">
        <is>
          <t>Ponderado</t>
        </is>
      </c>
      <c r="H4" s="8" t="inlineStr">
        <is>
          <t>Resumen por mes</t>
        </is>
      </c>
      <c r="I4" s="8" t="inlineStr">
        <is>
          <t>Mes 1</t>
        </is>
      </c>
      <c r="J4" s="8" t="inlineStr">
        <is>
          <t>Mes 2</t>
        </is>
      </c>
      <c r="K4" s="8" t="inlineStr">
        <is>
          <t>Mes 3</t>
        </is>
      </c>
    </row>
    <row r="5">
      <c r="A5" s="9" t="n"/>
      <c r="B5" s="10" t="n"/>
      <c r="C5" s="30" t="n"/>
      <c r="D5" s="9" t="n"/>
      <c r="E5" s="33">
        <f>IF(D5="","",IF(D5="Confirmado",1,IF(D5="Probable",0.7,0.3)))</f>
        <v/>
      </c>
      <c r="F5" s="11">
        <f>IF(OR(B5="",E5=""),"",B5*E5)</f>
        <v/>
      </c>
      <c r="H5" s="12" t="inlineStr">
        <is>
          <t>Bruto ponderado</t>
        </is>
      </c>
      <c r="I5" s="11">
        <f>SUMIF($C$5:$C$34,1,$F$5:$F$34)</f>
        <v/>
      </c>
      <c r="J5" s="11">
        <f>SUMIF($C$5:$C$34,2,$F$5:$F$34)</f>
        <v/>
      </c>
      <c r="K5" s="11">
        <f>SUMIF($C$5:$C$34,3,$F$5:$F$34)</f>
        <v/>
      </c>
    </row>
    <row r="6">
      <c r="A6" s="9" t="n"/>
      <c r="B6" s="10" t="n"/>
      <c r="C6" s="30" t="n"/>
      <c r="D6" s="9" t="n"/>
      <c r="E6" s="33">
        <f>IF(D6="","",IF(D6="Confirmado",1,IF(D6="Probable",0.7,0.3)))</f>
        <v/>
      </c>
      <c r="F6" s="11">
        <f>IF(OR(B6="",E6=""),"",B6*E6)</f>
        <v/>
      </c>
      <c r="H6" s="12" t="inlineStr">
        <is>
          <t>− Reserva de impuestos</t>
        </is>
      </c>
      <c r="I6" s="11">
        <f>-I5*'3 Sistema'!$C$6</f>
        <v/>
      </c>
      <c r="J6" s="11">
        <f>-J5*'3 Sistema'!$C$6</f>
        <v/>
      </c>
      <c r="K6" s="11">
        <f>-K5*'3 Sistema'!$C$6</f>
        <v/>
      </c>
    </row>
    <row r="7">
      <c r="A7" s="9" t="n"/>
      <c r="B7" s="10" t="n"/>
      <c r="C7" s="30" t="n"/>
      <c r="D7" s="9" t="n"/>
      <c r="E7" s="33">
        <f>IF(D7="","",IF(D7="Confirmado",1,IF(D7="Probable",0.7,0.3)))</f>
        <v/>
      </c>
      <c r="F7" s="11">
        <f>IF(OR(B7="",E7=""),"",B7*E7)</f>
        <v/>
      </c>
      <c r="H7" s="12" t="inlineStr">
        <is>
          <t>− Gastos de la actividad</t>
        </is>
      </c>
      <c r="I7" s="11">
        <f>-'3 Sistema'!$C$8</f>
        <v/>
      </c>
      <c r="J7" s="11">
        <f>-'3 Sistema'!$C$8</f>
        <v/>
      </c>
      <c r="K7" s="11">
        <f>-'3 Sistema'!$C$8</f>
        <v/>
      </c>
    </row>
    <row r="8">
      <c r="A8" s="9" t="n"/>
      <c r="B8" s="10" t="n"/>
      <c r="C8" s="30" t="n"/>
      <c r="D8" s="9" t="n"/>
      <c r="E8" s="33">
        <f>IF(D8="","",IF(D8="Confirmado",1,IF(D8="Probable",0.7,0.3)))</f>
        <v/>
      </c>
      <c r="F8" s="11">
        <f>IF(OR(B8="",E8=""),"",B8*E8)</f>
        <v/>
      </c>
      <c r="H8" s="18" t="inlineStr">
        <is>
          <t>Disponible esperado</t>
        </is>
      </c>
      <c r="I8" s="13">
        <f>SUM(I5:I7)</f>
        <v/>
      </c>
      <c r="J8" s="13">
        <f>SUM(J5:J7)</f>
        <v/>
      </c>
      <c r="K8" s="13">
        <f>SUM(K5:K7)</f>
        <v/>
      </c>
    </row>
    <row r="9">
      <c r="A9" s="9" t="n"/>
      <c r="B9" s="10" t="n"/>
      <c r="C9" s="30" t="n"/>
      <c r="D9" s="9" t="n"/>
      <c r="E9" s="33">
        <f>IF(D9="","",IF(D9="Confirmado",1,IF(D9="Probable",0.7,0.3)))</f>
        <v/>
      </c>
      <c r="F9" s="11">
        <f>IF(OR(B9="",E9=""),"",B9*E9)</f>
        <v/>
      </c>
      <c r="H9" s="12" t="inlineStr">
        <is>
          <t>Sueldo meta</t>
        </is>
      </c>
      <c r="I9" s="11">
        <f>'3 Sistema'!$C$15</f>
        <v/>
      </c>
      <c r="J9" s="11">
        <f>'3 Sistema'!$C$15</f>
        <v/>
      </c>
      <c r="K9" s="11">
        <f>'3 Sistema'!$C$15</f>
        <v/>
      </c>
    </row>
    <row r="10">
      <c r="A10" s="9" t="n"/>
      <c r="B10" s="10" t="n"/>
      <c r="C10" s="30" t="n"/>
      <c r="D10" s="9" t="n"/>
      <c r="E10" s="33">
        <f>IF(D10="","",IF(D10="Confirmado",1,IF(D10="Probable",0.7,0.3)))</f>
        <v/>
      </c>
      <c r="F10" s="11">
        <f>IF(OR(B10="",E10=""),"",B10*E10)</f>
        <v/>
      </c>
      <c r="H10" s="12" t="inlineStr">
        <is>
          <t>Diferencia</t>
        </is>
      </c>
      <c r="I10" s="11">
        <f>I8-I9</f>
        <v/>
      </c>
      <c r="J10" s="11">
        <f>J8-J9</f>
        <v/>
      </c>
      <c r="K10" s="11">
        <f>K8-K9</f>
        <v/>
      </c>
    </row>
    <row r="11">
      <c r="A11" s="9" t="n"/>
      <c r="B11" s="10" t="n"/>
      <c r="C11" s="30" t="n"/>
      <c r="D11" s="9" t="n"/>
      <c r="E11" s="33">
        <f>IF(D11="","",IF(D11="Confirmado",1,IF(D11="Probable",0.7,0.3)))</f>
        <v/>
      </c>
      <c r="F11" s="11">
        <f>IF(OR(B11="",E11=""),"",B11*E11)</f>
        <v/>
      </c>
      <c r="H11" s="18" t="inlineStr">
        <is>
          <t>Señal</t>
        </is>
      </c>
      <c r="I11" s="15">
        <f>IF(I9=0,"",IF(I10&lt;0,"Mes flojo: trabajar","OK"))</f>
        <v/>
      </c>
      <c r="J11" s="15">
        <f>IF(J9=0,"",IF(J10&lt;0,"Mes flojo: trabajar","OK"))</f>
        <v/>
      </c>
      <c r="K11" s="15">
        <f>IF(K9=0,"",IF(K10&lt;0,"Mes flojo: trabajar","OK"))</f>
        <v/>
      </c>
    </row>
    <row r="12">
      <c r="A12" s="9" t="n"/>
      <c r="B12" s="10" t="n"/>
      <c r="C12" s="30" t="n"/>
      <c r="D12" s="9" t="n"/>
      <c r="E12" s="33">
        <f>IF(D12="","",IF(D12="Confirmado",1,IF(D12="Probable",0.7,0.3)))</f>
        <v/>
      </c>
      <c r="F12" s="11">
        <f>IF(OR(B12="",E12=""),"",B12*E12)</f>
        <v/>
      </c>
    </row>
    <row r="13">
      <c r="A13" s="9" t="n"/>
      <c r="B13" s="10" t="n"/>
      <c r="C13" s="30" t="n"/>
      <c r="D13" s="9" t="n"/>
      <c r="E13" s="33">
        <f>IF(D13="","",IF(D13="Confirmado",1,IF(D13="Probable",0.7,0.3)))</f>
        <v/>
      </c>
      <c r="F13" s="11">
        <f>IF(OR(B13="",E13=""),"",B13*E13)</f>
        <v/>
      </c>
    </row>
    <row r="14">
      <c r="A14" s="9" t="n"/>
      <c r="B14" s="10" t="n"/>
      <c r="C14" s="30" t="n"/>
      <c r="D14" s="9" t="n"/>
      <c r="E14" s="33">
        <f>IF(D14="","",IF(D14="Confirmado",1,IF(D14="Probable",0.7,0.3)))</f>
        <v/>
      </c>
      <c r="F14" s="11">
        <f>IF(OR(B14="",E14=""),"",B14*E14)</f>
        <v/>
      </c>
    </row>
    <row r="15">
      <c r="A15" s="9" t="n"/>
      <c r="B15" s="10" t="n"/>
      <c r="C15" s="30" t="n"/>
      <c r="D15" s="9" t="n"/>
      <c r="E15" s="33">
        <f>IF(D15="","",IF(D15="Confirmado",1,IF(D15="Probable",0.7,0.3)))</f>
        <v/>
      </c>
      <c r="F15" s="11">
        <f>IF(OR(B15="",E15=""),"",B15*E15)</f>
        <v/>
      </c>
    </row>
    <row r="16">
      <c r="A16" s="9" t="n"/>
      <c r="B16" s="10" t="n"/>
      <c r="C16" s="30" t="n"/>
      <c r="D16" s="9" t="n"/>
      <c r="E16" s="33">
        <f>IF(D16="","",IF(D16="Confirmado",1,IF(D16="Probable",0.7,0.3)))</f>
        <v/>
      </c>
      <c r="F16" s="11">
        <f>IF(OR(B16="",E16=""),"",B16*E16)</f>
        <v/>
      </c>
    </row>
    <row r="17">
      <c r="A17" s="9" t="n"/>
      <c r="B17" s="10" t="n"/>
      <c r="C17" s="30" t="n"/>
      <c r="D17" s="9" t="n"/>
      <c r="E17" s="33">
        <f>IF(D17="","",IF(D17="Confirmado",1,IF(D17="Probable",0.7,0.3)))</f>
        <v/>
      </c>
      <c r="F17" s="11">
        <f>IF(OR(B17="",E17=""),"",B17*E17)</f>
        <v/>
      </c>
    </row>
    <row r="18">
      <c r="A18" s="9" t="n"/>
      <c r="B18" s="10" t="n"/>
      <c r="C18" s="30" t="n"/>
      <c r="D18" s="9" t="n"/>
      <c r="E18" s="33">
        <f>IF(D18="","",IF(D18="Confirmado",1,IF(D18="Probable",0.7,0.3)))</f>
        <v/>
      </c>
      <c r="F18" s="11">
        <f>IF(OR(B18="",E18=""),"",B18*E18)</f>
        <v/>
      </c>
    </row>
    <row r="19">
      <c r="A19" s="9" t="n"/>
      <c r="B19" s="10" t="n"/>
      <c r="C19" s="30" t="n"/>
      <c r="D19" s="9" t="n"/>
      <c r="E19" s="33">
        <f>IF(D19="","",IF(D19="Confirmado",1,IF(D19="Probable",0.7,0.3)))</f>
        <v/>
      </c>
      <c r="F19" s="11">
        <f>IF(OR(B19="",E19=""),"",B19*E19)</f>
        <v/>
      </c>
    </row>
    <row r="20">
      <c r="A20" s="9" t="n"/>
      <c r="B20" s="10" t="n"/>
      <c r="C20" s="30" t="n"/>
      <c r="D20" s="9" t="n"/>
      <c r="E20" s="33">
        <f>IF(D20="","",IF(D20="Confirmado",1,IF(D20="Probable",0.7,0.3)))</f>
        <v/>
      </c>
      <c r="F20" s="11">
        <f>IF(OR(B20="",E20=""),"",B20*E20)</f>
        <v/>
      </c>
    </row>
    <row r="21">
      <c r="A21" s="9" t="n"/>
      <c r="B21" s="10" t="n"/>
      <c r="C21" s="30" t="n"/>
      <c r="D21" s="9" t="n"/>
      <c r="E21" s="33">
        <f>IF(D21="","",IF(D21="Confirmado",1,IF(D21="Probable",0.7,0.3)))</f>
        <v/>
      </c>
      <c r="F21" s="11">
        <f>IF(OR(B21="",E21=""),"",B21*E21)</f>
        <v/>
      </c>
    </row>
    <row r="22">
      <c r="A22" s="9" t="n"/>
      <c r="B22" s="10" t="n"/>
      <c r="C22" s="30" t="n"/>
      <c r="D22" s="9" t="n"/>
      <c r="E22" s="33">
        <f>IF(D22="","",IF(D22="Confirmado",1,IF(D22="Probable",0.7,0.3)))</f>
        <v/>
      </c>
      <c r="F22" s="11">
        <f>IF(OR(B22="",E22=""),"",B22*E22)</f>
        <v/>
      </c>
    </row>
    <row r="23">
      <c r="A23" s="9" t="n"/>
      <c r="B23" s="10" t="n"/>
      <c r="C23" s="30" t="n"/>
      <c r="D23" s="9" t="n"/>
      <c r="E23" s="33">
        <f>IF(D23="","",IF(D23="Confirmado",1,IF(D23="Probable",0.7,0.3)))</f>
        <v/>
      </c>
      <c r="F23" s="11">
        <f>IF(OR(B23="",E23=""),"",B23*E23)</f>
        <v/>
      </c>
    </row>
    <row r="24">
      <c r="A24" s="9" t="n"/>
      <c r="B24" s="10" t="n"/>
      <c r="C24" s="30" t="n"/>
      <c r="D24" s="9" t="n"/>
      <c r="E24" s="33">
        <f>IF(D24="","",IF(D24="Confirmado",1,IF(D24="Probable",0.7,0.3)))</f>
        <v/>
      </c>
      <c r="F24" s="11">
        <f>IF(OR(B24="",E24=""),"",B24*E24)</f>
        <v/>
      </c>
    </row>
    <row r="25">
      <c r="A25" s="9" t="n"/>
      <c r="B25" s="10" t="n"/>
      <c r="C25" s="30" t="n"/>
      <c r="D25" s="9" t="n"/>
      <c r="E25" s="33">
        <f>IF(D25="","",IF(D25="Confirmado",1,IF(D25="Probable",0.7,0.3)))</f>
        <v/>
      </c>
      <c r="F25" s="11">
        <f>IF(OR(B25="",E25=""),"",B25*E25)</f>
        <v/>
      </c>
    </row>
    <row r="26">
      <c r="A26" s="9" t="n"/>
      <c r="B26" s="10" t="n"/>
      <c r="C26" s="30" t="n"/>
      <c r="D26" s="9" t="n"/>
      <c r="E26" s="33">
        <f>IF(D26="","",IF(D26="Confirmado",1,IF(D26="Probable",0.7,0.3)))</f>
        <v/>
      </c>
      <c r="F26" s="11">
        <f>IF(OR(B26="",E26=""),"",B26*E26)</f>
        <v/>
      </c>
    </row>
    <row r="27">
      <c r="A27" s="9" t="n"/>
      <c r="B27" s="10" t="n"/>
      <c r="C27" s="30" t="n"/>
      <c r="D27" s="9" t="n"/>
      <c r="E27" s="33">
        <f>IF(D27="","",IF(D27="Confirmado",1,IF(D27="Probable",0.7,0.3)))</f>
        <v/>
      </c>
      <c r="F27" s="11">
        <f>IF(OR(B27="",E27=""),"",B27*E27)</f>
        <v/>
      </c>
    </row>
    <row r="28">
      <c r="A28" s="9" t="n"/>
      <c r="B28" s="10" t="n"/>
      <c r="C28" s="30" t="n"/>
      <c r="D28" s="9" t="n"/>
      <c r="E28" s="33">
        <f>IF(D28="","",IF(D28="Confirmado",1,IF(D28="Probable",0.7,0.3)))</f>
        <v/>
      </c>
      <c r="F28" s="11">
        <f>IF(OR(B28="",E28=""),"",B28*E28)</f>
        <v/>
      </c>
    </row>
    <row r="29">
      <c r="A29" s="9" t="n"/>
      <c r="B29" s="10" t="n"/>
      <c r="C29" s="30" t="n"/>
      <c r="D29" s="9" t="n"/>
      <c r="E29" s="33">
        <f>IF(D29="","",IF(D29="Confirmado",1,IF(D29="Probable",0.7,0.3)))</f>
        <v/>
      </c>
      <c r="F29" s="11">
        <f>IF(OR(B29="",E29=""),"",B29*E29)</f>
        <v/>
      </c>
    </row>
    <row r="30">
      <c r="A30" s="9" t="n"/>
      <c r="B30" s="10" t="n"/>
      <c r="C30" s="30" t="n"/>
      <c r="D30" s="9" t="n"/>
      <c r="E30" s="33">
        <f>IF(D30="","",IF(D30="Confirmado",1,IF(D30="Probable",0.7,0.3)))</f>
        <v/>
      </c>
      <c r="F30" s="11">
        <f>IF(OR(B30="",E30=""),"",B30*E30)</f>
        <v/>
      </c>
    </row>
    <row r="31">
      <c r="A31" s="9" t="n"/>
      <c r="B31" s="10" t="n"/>
      <c r="C31" s="30" t="n"/>
      <c r="D31" s="9" t="n"/>
      <c r="E31" s="33">
        <f>IF(D31="","",IF(D31="Confirmado",1,IF(D31="Probable",0.7,0.3)))</f>
        <v/>
      </c>
      <c r="F31" s="11">
        <f>IF(OR(B31="",E31=""),"",B31*E31)</f>
        <v/>
      </c>
    </row>
    <row r="32">
      <c r="A32" s="9" t="n"/>
      <c r="B32" s="10" t="n"/>
      <c r="C32" s="30" t="n"/>
      <c r="D32" s="9" t="n"/>
      <c r="E32" s="33">
        <f>IF(D32="","",IF(D32="Confirmado",1,IF(D32="Probable",0.7,0.3)))</f>
        <v/>
      </c>
      <c r="F32" s="11">
        <f>IF(OR(B32="",E32=""),"",B32*E32)</f>
        <v/>
      </c>
    </row>
    <row r="33">
      <c r="A33" s="9" t="n"/>
      <c r="B33" s="10" t="n"/>
      <c r="C33" s="30" t="n"/>
      <c r="D33" s="9" t="n"/>
      <c r="E33" s="33">
        <f>IF(D33="","",IF(D33="Confirmado",1,IF(D33="Probable",0.7,0.3)))</f>
        <v/>
      </c>
      <c r="F33" s="11">
        <f>IF(OR(B33="",E33=""),"",B33*E33)</f>
        <v/>
      </c>
    </row>
    <row r="34">
      <c r="A34" s="9" t="n"/>
      <c r="B34" s="10" t="n"/>
      <c r="C34" s="30" t="n"/>
      <c r="D34" s="9" t="n"/>
      <c r="E34" s="33">
        <f>IF(D34="","",IF(D34="Confirmado",1,IF(D34="Probable",0.7,0.3)))</f>
        <v/>
      </c>
      <c r="F34" s="11">
        <f>IF(OR(B34="",E34=""),"",B34*E34)</f>
        <v/>
      </c>
    </row>
  </sheetData>
  <conditionalFormatting sqref="I11:K11">
    <cfRule type="cellIs" priority="1" operator="equal" dxfId="5">
      <formula>"Mes flojo: trabajar"</formula>
    </cfRule>
  </conditionalFormatting>
  <dataValidations count="2">
    <dataValidation sqref="C5:C34" showDropDown="0" showInputMessage="0" showErrorMessage="0" allowBlank="1" type="list">
      <formula1>"1,2,3"</formula1>
    </dataValidation>
    <dataValidation sqref="D5:D34" showDropDown="0" showInputMessage="0" showErrorMessage="0" allowBlank="1" type="list">
      <formula1>"Confirmado,Probable,Posible"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2026-10-26T05:04:32Z</dcterms:created>
  <dcterms:modified xmlns:dcterms="http://purl.org/dc/terms/" xmlns:xsi="http://www.w3.org/2001/XMLSchema-instance" xsi:type="dcterms:W3CDTF">2026-10-26T05:04:32Z</dcterms:modified>
</cp:coreProperties>
</file>